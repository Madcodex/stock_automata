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 Data\Downloads\"/>
    </mc:Choice>
  </mc:AlternateContent>
  <bookViews>
    <workbookView xWindow="0" yWindow="0" windowWidth="20490" windowHeight="7650" tabRatio="743" activeTab="6"/>
  </bookViews>
  <sheets>
    <sheet name="User_Credential" sheetId="1" r:id="rId1"/>
    <sheet name="Trade_Terminal" sheetId="2" r:id="rId2"/>
    <sheet name="OrderBook" sheetId="6" r:id="rId3"/>
    <sheet name="OpenPosition" sheetId="7" r:id="rId4"/>
    <sheet name="Option_Chain_Input" sheetId="3" r:id="rId5"/>
    <sheet name="Option_Chain_Output" sheetId="8" r:id="rId6"/>
    <sheet name="Payoff" sheetId="9" r:id="rId7"/>
  </sheets>
  <functionGroups builtInGroupCount="18"/>
  <externalReferences>
    <externalReference r:id="rId8"/>
  </externalReferences>
  <calcPr calcId="162913"/>
</workbook>
</file>

<file path=xl/calcChain.xml><?xml version="1.0" encoding="utf-8"?>
<calcChain xmlns="http://schemas.openxmlformats.org/spreadsheetml/2006/main">
  <c r="T46" i="9" l="1"/>
  <c r="S46" i="9"/>
  <c r="R46" i="9"/>
  <c r="Q46" i="9"/>
  <c r="P46" i="9"/>
  <c r="T45" i="9"/>
  <c r="S45" i="9"/>
  <c r="R45" i="9"/>
  <c r="Q45" i="9"/>
  <c r="P45" i="9"/>
  <c r="T44" i="9"/>
  <c r="S44" i="9"/>
  <c r="R44" i="9"/>
  <c r="Q44" i="9"/>
  <c r="P44" i="9"/>
  <c r="T43" i="9"/>
  <c r="S43" i="9"/>
  <c r="R43" i="9"/>
  <c r="Q43" i="9"/>
  <c r="P43" i="9"/>
  <c r="T42" i="9"/>
  <c r="S42" i="9"/>
  <c r="R42" i="9"/>
  <c r="Q42" i="9"/>
  <c r="P42" i="9"/>
  <c r="T41" i="9"/>
  <c r="S41" i="9"/>
  <c r="R41" i="9"/>
  <c r="Q41" i="9"/>
  <c r="P41" i="9"/>
  <c r="T40" i="9"/>
  <c r="S40" i="9"/>
  <c r="R40" i="9"/>
  <c r="Q40" i="9"/>
  <c r="P40" i="9"/>
  <c r="T39" i="9"/>
  <c r="S39" i="9"/>
  <c r="R39" i="9"/>
  <c r="Q39" i="9"/>
  <c r="P39" i="9"/>
  <c r="T38" i="9"/>
  <c r="S38" i="9"/>
  <c r="R38" i="9"/>
  <c r="Q38" i="9"/>
  <c r="P38" i="9"/>
  <c r="T37" i="9"/>
  <c r="S37" i="9"/>
  <c r="R37" i="9"/>
  <c r="Q37" i="9"/>
  <c r="P37" i="9"/>
  <c r="T36" i="9"/>
  <c r="S36" i="9"/>
  <c r="R36" i="9"/>
  <c r="Q36" i="9"/>
  <c r="P36" i="9"/>
  <c r="T35" i="9"/>
  <c r="S35" i="9"/>
  <c r="R35" i="9"/>
  <c r="Q35" i="9"/>
  <c r="P35" i="9"/>
  <c r="T34" i="9"/>
  <c r="S34" i="9"/>
  <c r="R34" i="9"/>
  <c r="Q34" i="9"/>
  <c r="P34" i="9"/>
  <c r="T33" i="9"/>
  <c r="S33" i="9"/>
  <c r="R33" i="9"/>
  <c r="Q33" i="9"/>
  <c r="P33" i="9"/>
  <c r="T32" i="9"/>
  <c r="S32" i="9"/>
  <c r="R32" i="9"/>
  <c r="Q32" i="9"/>
  <c r="P32" i="9"/>
  <c r="T31" i="9"/>
  <c r="S31" i="9"/>
  <c r="R31" i="9"/>
  <c r="Q31" i="9"/>
  <c r="P31" i="9"/>
  <c r="I9" i="9" s="1"/>
  <c r="T30" i="9"/>
  <c r="S30" i="9"/>
  <c r="R30" i="9"/>
  <c r="Q30" i="9"/>
  <c r="P30" i="9"/>
  <c r="T29" i="9"/>
  <c r="S29" i="9"/>
  <c r="R29" i="9"/>
  <c r="Q29" i="9"/>
  <c r="P29" i="9"/>
  <c r="T28" i="9"/>
  <c r="S28" i="9"/>
  <c r="R28" i="9"/>
  <c r="Q28" i="9"/>
  <c r="P28" i="9"/>
  <c r="T27" i="9"/>
  <c r="S27" i="9"/>
  <c r="R27" i="9"/>
  <c r="Q27" i="9"/>
  <c r="P27" i="9"/>
  <c r="T26" i="9"/>
  <c r="S26" i="9"/>
  <c r="R26" i="9"/>
  <c r="Q26" i="9"/>
  <c r="P26" i="9"/>
  <c r="T25" i="9"/>
  <c r="S25" i="9"/>
  <c r="R25" i="9"/>
  <c r="Q25" i="9"/>
  <c r="P25" i="9"/>
  <c r="T24" i="9"/>
  <c r="S24" i="9"/>
  <c r="R24" i="9"/>
  <c r="Q24" i="9"/>
  <c r="P24" i="9"/>
  <c r="T23" i="9"/>
  <c r="S23" i="9"/>
  <c r="R23" i="9"/>
  <c r="Q23" i="9"/>
  <c r="P23" i="9"/>
  <c r="T22" i="9"/>
  <c r="S22" i="9"/>
  <c r="R22" i="9"/>
  <c r="Q22" i="9"/>
  <c r="P22" i="9"/>
  <c r="T21" i="9"/>
  <c r="S21" i="9"/>
  <c r="R21" i="9"/>
  <c r="Q21" i="9"/>
  <c r="P21" i="9"/>
  <c r="T20" i="9"/>
  <c r="S20" i="9"/>
  <c r="R20" i="9"/>
  <c r="Q20" i="9"/>
  <c r="P20" i="9"/>
  <c r="T19" i="9"/>
  <c r="S19" i="9"/>
  <c r="R19" i="9"/>
  <c r="Q19" i="9"/>
  <c r="P19" i="9"/>
  <c r="T18" i="9"/>
  <c r="S18" i="9"/>
  <c r="R18" i="9"/>
  <c r="Q18" i="9"/>
  <c r="P18" i="9"/>
  <c r="T17" i="9"/>
  <c r="S17" i="9"/>
  <c r="R17" i="9"/>
  <c r="Q17" i="9"/>
  <c r="P17" i="9"/>
  <c r="T16" i="9"/>
  <c r="S16" i="9"/>
  <c r="R16" i="9"/>
  <c r="Q16" i="9"/>
  <c r="P16" i="9"/>
  <c r="T15" i="9"/>
  <c r="S15" i="9"/>
  <c r="R15" i="9"/>
  <c r="Q15" i="9"/>
  <c r="P15" i="9"/>
  <c r="P2" i="9"/>
  <c r="B1" i="9"/>
  <c r="A1" i="9"/>
  <c r="B63" i="9"/>
  <c r="A47" i="9"/>
  <c r="J9" i="9"/>
  <c r="F9" i="9"/>
  <c r="B9" i="9"/>
  <c r="H7" i="9"/>
  <c r="H11" i="9" s="1"/>
  <c r="D7" i="9"/>
  <c r="D11" i="9" s="1"/>
  <c r="G34" i="9"/>
  <c r="D1" i="9"/>
  <c r="P8" i="9" s="1"/>
  <c r="C1" i="9"/>
  <c r="E7" i="9" l="1"/>
  <c r="E11" i="9" s="1"/>
  <c r="I7" i="9"/>
  <c r="I11" i="9" s="1"/>
  <c r="C9" i="9"/>
  <c r="G9" i="9"/>
  <c r="K9" i="9"/>
  <c r="B7" i="9"/>
  <c r="B11" i="9" s="1"/>
  <c r="F7" i="9"/>
  <c r="F11" i="9" s="1"/>
  <c r="G39" i="9" s="1"/>
  <c r="J7" i="9"/>
  <c r="J11" i="9" s="1"/>
  <c r="G43" i="9" s="1"/>
  <c r="D9" i="9"/>
  <c r="H9" i="9"/>
  <c r="C7" i="9"/>
  <c r="C11" i="9" s="1"/>
  <c r="L11" i="9" s="1"/>
  <c r="G7" i="9"/>
  <c r="G11" i="9" s="1"/>
  <c r="G40" i="9" s="1"/>
  <c r="K7" i="9"/>
  <c r="K11" i="9" s="1"/>
  <c r="E9" i="9"/>
  <c r="H3" i="9"/>
  <c r="D3" i="9"/>
  <c r="I3" i="9"/>
  <c r="E3" i="9"/>
  <c r="K3" i="9"/>
  <c r="G3" i="9"/>
  <c r="C3" i="9"/>
  <c r="J3" i="9"/>
  <c r="F3" i="9"/>
  <c r="B3" i="9"/>
  <c r="H34" i="9"/>
  <c r="G44" i="9"/>
  <c r="G42" i="9"/>
  <c r="G41" i="9"/>
  <c r="G38" i="9"/>
  <c r="G37" i="9"/>
  <c r="G36" i="9"/>
  <c r="G35" i="9"/>
  <c r="F34" i="9"/>
  <c r="G48" i="9"/>
  <c r="F44" i="9" l="1"/>
  <c r="F43" i="9"/>
  <c r="F42" i="9"/>
  <c r="F41" i="9"/>
  <c r="F40" i="9"/>
  <c r="F39" i="9"/>
  <c r="F38" i="9"/>
  <c r="F37" i="9"/>
  <c r="F36" i="9"/>
  <c r="F35" i="9"/>
  <c r="E34" i="9"/>
  <c r="F48" i="9"/>
  <c r="E48" i="9" s="1"/>
  <c r="D48" i="9" s="1"/>
  <c r="C48" i="9" s="1"/>
  <c r="B48" i="9" s="1"/>
  <c r="H48" i="9"/>
  <c r="I48" i="9" s="1"/>
  <c r="J48" i="9" s="1"/>
  <c r="K48" i="9" s="1"/>
  <c r="L48" i="9" s="1"/>
  <c r="H44" i="9"/>
  <c r="H43" i="9"/>
  <c r="H42" i="9"/>
  <c r="H41" i="9"/>
  <c r="H40" i="9"/>
  <c r="H39" i="9"/>
  <c r="H38" i="9"/>
  <c r="H37" i="9"/>
  <c r="H36" i="9"/>
  <c r="H35" i="9"/>
  <c r="I34" i="9"/>
  <c r="G45" i="9"/>
  <c r="C12" i="9"/>
  <c r="I12" i="9"/>
  <c r="J12" i="9"/>
  <c r="J49" i="9"/>
  <c r="K54" i="9"/>
  <c r="E51" i="9"/>
  <c r="J51" i="9"/>
  <c r="E10" i="9"/>
  <c r="L53" i="9"/>
  <c r="K14" i="9"/>
  <c r="C55" i="9"/>
  <c r="B15" i="9"/>
  <c r="D52" i="9"/>
  <c r="I55" i="9"/>
  <c r="C14" i="9"/>
  <c r="L56" i="9"/>
  <c r="J57" i="9"/>
  <c r="C49" i="9"/>
  <c r="L54" i="9"/>
  <c r="I54" i="9"/>
  <c r="B51" i="9"/>
  <c r="K52" i="9"/>
  <c r="E53" i="9"/>
  <c r="J58" i="9"/>
  <c r="H14" i="9"/>
  <c r="C10" i="9"/>
  <c r="D54" i="9"/>
  <c r="E13" i="9"/>
  <c r="G55" i="9"/>
  <c r="C16" i="9"/>
  <c r="H56" i="9"/>
  <c r="F57" i="9"/>
  <c r="B49" i="9"/>
  <c r="C54" i="9"/>
  <c r="L51" i="9"/>
  <c r="F52" i="9"/>
  <c r="C52" i="9"/>
  <c r="H53" i="9"/>
  <c r="E58" i="9"/>
  <c r="H15" i="9"/>
  <c r="C15" i="9"/>
  <c r="B57" i="9"/>
  <c r="B8" i="9"/>
  <c r="E16" i="9"/>
  <c r="H55" i="9"/>
  <c r="D56" i="9"/>
  <c r="D58" i="9"/>
  <c r="F13" i="9"/>
  <c r="F51" i="9"/>
  <c r="H50" i="9"/>
  <c r="I50" i="9"/>
  <c r="C56" i="9"/>
  <c r="D57" i="9"/>
  <c r="I49" i="9"/>
  <c r="J54" i="9"/>
  <c r="D51" i="9"/>
  <c r="E14" i="9"/>
  <c r="G53" i="9"/>
  <c r="F8" i="9"/>
  <c r="K12" i="9"/>
  <c r="H12" i="9"/>
  <c r="G14" i="9"/>
  <c r="K53" i="9"/>
  <c r="J55" i="9"/>
  <c r="C8" i="9"/>
  <c r="I13" i="9"/>
  <c r="I57" i="9"/>
  <c r="F49" i="9"/>
  <c r="G54" i="9"/>
  <c r="D13" i="9"/>
  <c r="J52" i="9"/>
  <c r="E8" i="9"/>
  <c r="D53" i="9"/>
  <c r="I58" i="9"/>
  <c r="H16" i="9"/>
  <c r="I16" i="9"/>
  <c r="G15" i="9"/>
  <c r="F10" i="9"/>
  <c r="B55" i="9"/>
  <c r="E50" i="9"/>
  <c r="K56" i="9"/>
  <c r="E57" i="9"/>
  <c r="B13" i="9"/>
  <c r="B54" i="9"/>
  <c r="K51" i="9"/>
  <c r="E52" i="9"/>
  <c r="F16" i="9"/>
  <c r="H58" i="9"/>
  <c r="K15" i="9"/>
  <c r="F55" i="9"/>
  <c r="B56" i="9"/>
  <c r="L57" i="9"/>
  <c r="G13" i="9"/>
  <c r="F15" i="9"/>
  <c r="K49" i="9"/>
  <c r="D12" i="9"/>
  <c r="I10" i="9"/>
  <c r="C50" i="9"/>
  <c r="I14" i="9"/>
  <c r="K57" i="9"/>
  <c r="J8" i="9"/>
  <c r="B10" i="9"/>
  <c r="E54" i="9"/>
  <c r="C51" i="9"/>
  <c r="E15" i="9"/>
  <c r="J53" i="9"/>
  <c r="K58" i="9"/>
  <c r="E55" i="9"/>
  <c r="H10" i="9"/>
  <c r="H51" i="9"/>
  <c r="F12" i="9"/>
  <c r="D50" i="9"/>
  <c r="J56" i="9"/>
  <c r="I8" i="9"/>
  <c r="J10" i="9"/>
  <c r="E49" i="9"/>
  <c r="F54" i="9"/>
  <c r="D14" i="9"/>
  <c r="I52" i="9"/>
  <c r="C53" i="9"/>
  <c r="L58" i="9"/>
  <c r="K16" i="9"/>
  <c r="H8" i="9"/>
  <c r="J13" i="9"/>
  <c r="G51" i="9"/>
  <c r="F14" i="9"/>
  <c r="K50" i="9"/>
  <c r="F56" i="9"/>
  <c r="G56" i="9"/>
  <c r="J14" i="9"/>
  <c r="D49" i="9"/>
  <c r="G8" i="9"/>
  <c r="D15" i="9"/>
  <c r="H52" i="9"/>
  <c r="B53" i="9"/>
  <c r="C58" i="9"/>
  <c r="L55" i="9"/>
  <c r="L50" i="9"/>
  <c r="I51" i="9"/>
  <c r="G52" i="9"/>
  <c r="K55" i="9"/>
  <c r="L49" i="9"/>
  <c r="B50" i="9"/>
  <c r="I15" i="9"/>
  <c r="J15" i="9"/>
  <c r="G49" i="9"/>
  <c r="B14" i="9"/>
  <c r="G10" i="9"/>
  <c r="D8" i="9"/>
  <c r="E12" i="9"/>
  <c r="I53" i="9"/>
  <c r="K10" i="9"/>
  <c r="D55" i="9"/>
  <c r="J16" i="9"/>
  <c r="D10" i="9"/>
  <c r="B58" i="9"/>
  <c r="C13" i="9"/>
  <c r="I56" i="9"/>
  <c r="G57" i="9"/>
  <c r="H57" i="9"/>
  <c r="H49" i="9"/>
  <c r="G12" i="9"/>
  <c r="D16" i="9"/>
  <c r="L52" i="9"/>
  <c r="F53" i="9"/>
  <c r="G58" i="9"/>
  <c r="H13" i="9"/>
  <c r="F50" i="9"/>
  <c r="B12" i="9"/>
  <c r="B52" i="9"/>
  <c r="K8" i="9"/>
  <c r="J50" i="9"/>
  <c r="E56" i="9"/>
  <c r="C57" i="9"/>
  <c r="B16" i="9"/>
  <c r="H54" i="9"/>
  <c r="G16" i="9"/>
  <c r="F58" i="9"/>
  <c r="G50" i="9"/>
  <c r="K13" i="9"/>
  <c r="L59" i="9" l="1"/>
  <c r="K59" i="9"/>
  <c r="D59" i="9"/>
  <c r="L13" i="9"/>
  <c r="B59" i="9"/>
  <c r="L16" i="9"/>
  <c r="L12" i="9"/>
  <c r="L17" i="9" s="1"/>
  <c r="H59" i="9"/>
  <c r="E59" i="9"/>
  <c r="F59" i="9"/>
  <c r="C59" i="9"/>
  <c r="L15" i="9"/>
  <c r="L14" i="9"/>
  <c r="I59" i="9"/>
  <c r="J59" i="9"/>
  <c r="G59" i="9"/>
  <c r="J34" i="9"/>
  <c r="I44" i="9"/>
  <c r="I40" i="9"/>
  <c r="I36" i="9"/>
  <c r="I41" i="9"/>
  <c r="I37" i="9"/>
  <c r="I43" i="9"/>
  <c r="I39" i="9"/>
  <c r="I42" i="9"/>
  <c r="I38" i="9"/>
  <c r="I35" i="9"/>
  <c r="H45" i="9"/>
  <c r="D34" i="9"/>
  <c r="E43" i="9"/>
  <c r="E39" i="9"/>
  <c r="E35" i="9"/>
  <c r="E44" i="9"/>
  <c r="E40" i="9"/>
  <c r="E36" i="9"/>
  <c r="E41" i="9"/>
  <c r="E37" i="9"/>
  <c r="E42" i="9"/>
  <c r="E38" i="9"/>
  <c r="F45" i="9"/>
  <c r="I45" i="9" l="1"/>
  <c r="E45" i="9"/>
  <c r="D44" i="9"/>
  <c r="D43" i="9"/>
  <c r="D42" i="9"/>
  <c r="D41" i="9"/>
  <c r="D40" i="9"/>
  <c r="D39" i="9"/>
  <c r="D38" i="9"/>
  <c r="D37" i="9"/>
  <c r="D36" i="9"/>
  <c r="D35" i="9"/>
  <c r="D45" i="9" s="1"/>
  <c r="C34" i="9"/>
  <c r="K34" i="9"/>
  <c r="J44" i="9"/>
  <c r="J43" i="9"/>
  <c r="J42" i="9"/>
  <c r="J41" i="9"/>
  <c r="J40" i="9"/>
  <c r="J39" i="9"/>
  <c r="J38" i="9"/>
  <c r="J37" i="9"/>
  <c r="J36" i="9"/>
  <c r="J35" i="9"/>
  <c r="J45" i="9" s="1"/>
  <c r="L34" i="9" l="1"/>
  <c r="K44" i="9"/>
  <c r="K43" i="9"/>
  <c r="K42" i="9"/>
  <c r="K41" i="9"/>
  <c r="K40" i="9"/>
  <c r="K39" i="9"/>
  <c r="K38" i="9"/>
  <c r="K37" i="9"/>
  <c r="K36" i="9"/>
  <c r="K35" i="9"/>
  <c r="C44" i="9"/>
  <c r="C43" i="9"/>
  <c r="C42" i="9"/>
  <c r="C41" i="9"/>
  <c r="C40" i="9"/>
  <c r="C39" i="9"/>
  <c r="C38" i="9"/>
  <c r="C37" i="9"/>
  <c r="C36" i="9"/>
  <c r="C35" i="9"/>
  <c r="B34" i="9"/>
  <c r="K45" i="9" l="1"/>
  <c r="B44" i="9"/>
  <c r="B43" i="9"/>
  <c r="B42" i="9"/>
  <c r="B41" i="9"/>
  <c r="B40" i="9"/>
  <c r="B39" i="9"/>
  <c r="B38" i="9"/>
  <c r="B37" i="9"/>
  <c r="B36" i="9"/>
  <c r="B35" i="9"/>
  <c r="B45" i="9" s="1"/>
  <c r="C45" i="9"/>
  <c r="L44" i="9"/>
  <c r="L43" i="9"/>
  <c r="L42" i="9"/>
  <c r="L41" i="9"/>
  <c r="L40" i="9"/>
  <c r="L39" i="9"/>
  <c r="L38" i="9"/>
  <c r="L37" i="9"/>
  <c r="L36" i="9"/>
  <c r="L35" i="9"/>
  <c r="L45" i="9" l="1"/>
  <c r="E3" i="3" l="1"/>
</calcChain>
</file>

<file path=xl/comments1.xml><?xml version="1.0" encoding="utf-8"?>
<comments xmlns="http://schemas.openxmlformats.org/spreadsheetml/2006/main">
  <authors>
    <author>Peter McPhee</author>
  </authors>
  <commentList>
    <comment ref="A4" authorId="0" shapeId="0">
      <text>
        <r>
          <rPr>
            <sz val="9"/>
            <color indexed="81"/>
            <rFont val="Tahoma"/>
            <family val="2"/>
          </rPr>
          <t>How many contracts to buy or sell. Positive for long and negative for short.</t>
        </r>
      </text>
    </comment>
    <comment ref="A5" authorId="0" shapeId="0">
      <text>
        <r>
          <rPr>
            <sz val="9"/>
            <color indexed="81"/>
            <rFont val="Tahoma"/>
            <family val="2"/>
          </rPr>
          <t>Call, Put or Stock</t>
        </r>
      </text>
    </comment>
    <comment ref="A6" authorId="0" shapeId="0">
      <text>
        <r>
          <rPr>
            <sz val="9"/>
            <color indexed="81"/>
            <rFont val="Tahoma"/>
            <family val="2"/>
          </rPr>
          <t>Strike price for the option or buy price for the stock.</t>
        </r>
      </text>
    </comment>
    <comment ref="A9" authorId="0" shapeId="0">
      <text>
        <r>
          <rPr>
            <sz val="9"/>
            <color indexed="81"/>
            <rFont val="Tahoma"/>
            <family val="2"/>
          </rPr>
          <t>The volatility used for the theoretical calculations e.g theoretical price, delta, gamma etc. If you're entering market prices into Market Price then make sure you copy the Implied Volatility into Model Volatility in order for the date simulations with the arrow buttons to work correctly. Use the Copy Vols button for this.</t>
        </r>
      </text>
    </comment>
  </commentList>
</comments>
</file>

<file path=xl/sharedStrings.xml><?xml version="1.0" encoding="utf-8"?>
<sst xmlns="http://schemas.openxmlformats.org/spreadsheetml/2006/main" count="584" uniqueCount="356">
  <si>
    <t>userid</t>
  </si>
  <si>
    <t>password</t>
  </si>
  <si>
    <t>ToTP</t>
  </si>
  <si>
    <t>vendor_code</t>
  </si>
  <si>
    <t>api_secret</t>
  </si>
  <si>
    <t>Symbol</t>
  </si>
  <si>
    <t>Open</t>
  </si>
  <si>
    <t>High</t>
  </si>
  <si>
    <t>Low</t>
  </si>
  <si>
    <t>Close</t>
  </si>
  <si>
    <t>VWAP</t>
  </si>
  <si>
    <t>Best Buy Price</t>
  </si>
  <si>
    <t>Best Sell Price</t>
  </si>
  <si>
    <t>Volume</t>
  </si>
  <si>
    <t>LTP</t>
  </si>
  <si>
    <t>Percentage change</t>
  </si>
  <si>
    <t>Qty</t>
  </si>
  <si>
    <t>Entry Signal</t>
  </si>
  <si>
    <t>Exit Signal</t>
  </si>
  <si>
    <t>Entry Price</t>
  </si>
  <si>
    <t>Target</t>
  </si>
  <si>
    <t>SL</t>
  </si>
  <si>
    <t>Trade Status</t>
  </si>
  <si>
    <t>-</t>
  </si>
  <si>
    <t>MCX:SILVERM30NOV22</t>
  </si>
  <si>
    <t>MCX:SILVERMIC30NOV22</t>
  </si>
  <si>
    <t>NSE:NIFTY INDEX</t>
  </si>
  <si>
    <t>NSE:INDIA VIX</t>
  </si>
  <si>
    <t>NSE:NIFTY BANK</t>
  </si>
  <si>
    <t>NSE:FIN NIFTY</t>
  </si>
  <si>
    <t>NSE:IDEA-EQ</t>
  </si>
  <si>
    <t>NSE:RELIANCE-EQ</t>
  </si>
  <si>
    <t>NSE:HCLTECH-EQ</t>
  </si>
  <si>
    <t>FNO Symbol</t>
  </si>
  <si>
    <t>LotSize</t>
  </si>
  <si>
    <t>AARTIIND</t>
  </si>
  <si>
    <t>ABB</t>
  </si>
  <si>
    <t>ITC</t>
  </si>
  <si>
    <t>ABBOTINDIA</t>
  </si>
  <si>
    <t>ABCAPITAL</t>
  </si>
  <si>
    <t>ABFRL</t>
  </si>
  <si>
    <t>ACC</t>
  </si>
  <si>
    <t>ADANIENT</t>
  </si>
  <si>
    <t>ADANIPORTS</t>
  </si>
  <si>
    <t>ALKEM</t>
  </si>
  <si>
    <t>AMARAJABAT</t>
  </si>
  <si>
    <t>AMBUJACEM</t>
  </si>
  <si>
    <t>APOLLOHOSP</t>
  </si>
  <si>
    <t>APOLLOTYRE</t>
  </si>
  <si>
    <t>ASHOKLEY</t>
  </si>
  <si>
    <t>ASIANPAINT</t>
  </si>
  <si>
    <t>ASTRAL</t>
  </si>
  <si>
    <t>NIFTY</t>
  </si>
  <si>
    <t>BANKNIFTY</t>
  </si>
  <si>
    <t>FINNIFTY</t>
  </si>
  <si>
    <t>OI</t>
  </si>
  <si>
    <t>ATUL</t>
  </si>
  <si>
    <t>AUBANK</t>
  </si>
  <si>
    <t>AUROPHARMA</t>
  </si>
  <si>
    <t>AXISBANK</t>
  </si>
  <si>
    <t>BAJAJ-AUTO</t>
  </si>
  <si>
    <t>BAJAJFINSV</t>
  </si>
  <si>
    <t>BAJFINANCE</t>
  </si>
  <si>
    <t>BALKRISIND</t>
  </si>
  <si>
    <t>BALRAMCHIN</t>
  </si>
  <si>
    <t>BANDHANBNK</t>
  </si>
  <si>
    <t>BANKBARODA</t>
  </si>
  <si>
    <t>BATAINDIA</t>
  </si>
  <si>
    <t>BEL</t>
  </si>
  <si>
    <t>BERGEPAINT</t>
  </si>
  <si>
    <t>BHARATFORG</t>
  </si>
  <si>
    <t>BHARTIARTL</t>
  </si>
  <si>
    <t>BHEL</t>
  </si>
  <si>
    <t>BIOCON</t>
  </si>
  <si>
    <t>BOSCHLTD</t>
  </si>
  <si>
    <t>BPCL</t>
  </si>
  <si>
    <t>BRITANNIA</t>
  </si>
  <si>
    <t>BSOFT</t>
  </si>
  <si>
    <t>CANBK</t>
  </si>
  <si>
    <t>CANFINHOME</t>
  </si>
  <si>
    <t>CHAMBLFERT</t>
  </si>
  <si>
    <t>CHOLAFIN</t>
  </si>
  <si>
    <t>CIPLA</t>
  </si>
  <si>
    <t>COALINDIA</t>
  </si>
  <si>
    <t>COFORGE</t>
  </si>
  <si>
    <t>COLPAL</t>
  </si>
  <si>
    <t>CONCOR</t>
  </si>
  <si>
    <t>COROMANDEL</t>
  </si>
  <si>
    <t>CROMPTON</t>
  </si>
  <si>
    <t>CUB</t>
  </si>
  <si>
    <t>CUMMINSIND</t>
  </si>
  <si>
    <t>DABUR</t>
  </si>
  <si>
    <t>DALBHARAT</t>
  </si>
  <si>
    <t>DEEPAKNTR</t>
  </si>
  <si>
    <t>DELTACORP</t>
  </si>
  <si>
    <t>DIVISLAB</t>
  </si>
  <si>
    <t>DIXON</t>
  </si>
  <si>
    <t>DLF</t>
  </si>
  <si>
    <t>DRREDDY</t>
  </si>
  <si>
    <t>EICHERMOT</t>
  </si>
  <si>
    <t>ESCORTS</t>
  </si>
  <si>
    <t>EXIDEIND</t>
  </si>
  <si>
    <t>FEDERALBNK</t>
  </si>
  <si>
    <t>FSL</t>
  </si>
  <si>
    <t>GAIL</t>
  </si>
  <si>
    <t>GLENMARK</t>
  </si>
  <si>
    <t>GMRINFRA</t>
  </si>
  <si>
    <t>GNFC</t>
  </si>
  <si>
    <t>GODREJCP</t>
  </si>
  <si>
    <t>GODREJPROP</t>
  </si>
  <si>
    <t>GRANULES</t>
  </si>
  <si>
    <t>GRASIM</t>
  </si>
  <si>
    <t>GUJGASLTD</t>
  </si>
  <si>
    <t>HAL</t>
  </si>
  <si>
    <t>HAVELLS</t>
  </si>
  <si>
    <t>HCLTECH</t>
  </si>
  <si>
    <t>HDFC</t>
  </si>
  <si>
    <t>HDFCAMC</t>
  </si>
  <si>
    <t>HDFCBANK</t>
  </si>
  <si>
    <t>HDFCLIFE</t>
  </si>
  <si>
    <t>HEROMOTOCO</t>
  </si>
  <si>
    <t>HINDALCO</t>
  </si>
  <si>
    <t>HINDCOPPER</t>
  </si>
  <si>
    <t>HINDPETRO</t>
  </si>
  <si>
    <t>HINDUNILVR</t>
  </si>
  <si>
    <t>HONAUT</t>
  </si>
  <si>
    <t>IBULHSGFIN</t>
  </si>
  <si>
    <t>ICICIBANK</t>
  </si>
  <si>
    <t>ICICIGI</t>
  </si>
  <si>
    <t>ICICIPRULI</t>
  </si>
  <si>
    <t>IDEA</t>
  </si>
  <si>
    <t>IDFC</t>
  </si>
  <si>
    <t>IDFCFIRSTB</t>
  </si>
  <si>
    <t>IEX</t>
  </si>
  <si>
    <t>IGL</t>
  </si>
  <si>
    <t>INDHOTEL</t>
  </si>
  <si>
    <t>INDIACEM</t>
  </si>
  <si>
    <t>INDIAMART</t>
  </si>
  <si>
    <t>INDIGO</t>
  </si>
  <si>
    <t>INDUSINDBK</t>
  </si>
  <si>
    <t>INDUSTOWER</t>
  </si>
  <si>
    <t>INFY</t>
  </si>
  <si>
    <t>INTELLECT</t>
  </si>
  <si>
    <t>IOC</t>
  </si>
  <si>
    <t>IPCALAB</t>
  </si>
  <si>
    <t>IRCTC</t>
  </si>
  <si>
    <t>JINDALSTEL</t>
  </si>
  <si>
    <t>JKCEMENT</t>
  </si>
  <si>
    <t>JSWSTEEL</t>
  </si>
  <si>
    <t>JUBLFOOD</t>
  </si>
  <si>
    <t>KOTAKBANK</t>
  </si>
  <si>
    <t>L&amp;TFH</t>
  </si>
  <si>
    <t>LALPATHLAB</t>
  </si>
  <si>
    <t>LAURUSLABS</t>
  </si>
  <si>
    <t>LICHSGFIN</t>
  </si>
  <si>
    <t>LT</t>
  </si>
  <si>
    <t>LTI</t>
  </si>
  <si>
    <t>LTTS</t>
  </si>
  <si>
    <t>LUPIN</t>
  </si>
  <si>
    <t>M&amp;M</t>
  </si>
  <si>
    <t>M&amp;MFIN</t>
  </si>
  <si>
    <t>MANAPPURAM</t>
  </si>
  <si>
    <t>MARICO</t>
  </si>
  <si>
    <t>MARUTI</t>
  </si>
  <si>
    <t>MCDOWELL-N</t>
  </si>
  <si>
    <t>MCX</t>
  </si>
  <si>
    <t>METROPOLIS</t>
  </si>
  <si>
    <t>MFSL</t>
  </si>
  <si>
    <t>MGL</t>
  </si>
  <si>
    <t>MIDCPNIFTY</t>
  </si>
  <si>
    <t>MOTHERSON</t>
  </si>
  <si>
    <t>MPHASIS</t>
  </si>
  <si>
    <t>MRF</t>
  </si>
  <si>
    <t>MUTHOOTFIN</t>
  </si>
  <si>
    <t>NATIONALUM</t>
  </si>
  <si>
    <t>NAUKRI</t>
  </si>
  <si>
    <t>NAVINFLUOR</t>
  </si>
  <si>
    <t>NESTLEIND</t>
  </si>
  <si>
    <t>NMDC</t>
  </si>
  <si>
    <t>NTPC</t>
  </si>
  <si>
    <t>OBEROIRLTY</t>
  </si>
  <si>
    <t>OFSS</t>
  </si>
  <si>
    <t>ONGC</t>
  </si>
  <si>
    <t>PAGEIND</t>
  </si>
  <si>
    <t>PEL</t>
  </si>
  <si>
    <t>PERSISTENT</t>
  </si>
  <si>
    <t>PETRONET</t>
  </si>
  <si>
    <t>PFC</t>
  </si>
  <si>
    <t>PIDILITIND</t>
  </si>
  <si>
    <t>PIIND</t>
  </si>
  <si>
    <t>PNB</t>
  </si>
  <si>
    <t>POLYCAB</t>
  </si>
  <si>
    <t>POWERGRID</t>
  </si>
  <si>
    <t>PVR</t>
  </si>
  <si>
    <t>RAIN</t>
  </si>
  <si>
    <t>RAMCOCEM</t>
  </si>
  <si>
    <t>RBLBANK</t>
  </si>
  <si>
    <t>RECLTD</t>
  </si>
  <si>
    <t>RELIANCE</t>
  </si>
  <si>
    <t>SAIL</t>
  </si>
  <si>
    <t>SBICARD</t>
  </si>
  <si>
    <t>SBILIFE</t>
  </si>
  <si>
    <t>SBIN</t>
  </si>
  <si>
    <t>SHREECEM</t>
  </si>
  <si>
    <t>SIEMENS</t>
  </si>
  <si>
    <t>SRF</t>
  </si>
  <si>
    <t>SRTRANSFIN</t>
  </si>
  <si>
    <t>SUNPHARMA</t>
  </si>
  <si>
    <t>SUNTV</t>
  </si>
  <si>
    <t>SYNGENE</t>
  </si>
  <si>
    <t>TATACHEM</t>
  </si>
  <si>
    <t>TATACOMM</t>
  </si>
  <si>
    <t>TATACONSUM</t>
  </si>
  <si>
    <t>TATAMOTORS</t>
  </si>
  <si>
    <t>TATAPOWER</t>
  </si>
  <si>
    <t>TATASTEEL</t>
  </si>
  <si>
    <t>TCS</t>
  </si>
  <si>
    <t>TECHM</t>
  </si>
  <si>
    <t>TITAN</t>
  </si>
  <si>
    <t>TORNTPHARM</t>
  </si>
  <si>
    <t>TORNTPOWER</t>
  </si>
  <si>
    <t>TRENT</t>
  </si>
  <si>
    <t>TVSMOTOR</t>
  </si>
  <si>
    <t>UBL</t>
  </si>
  <si>
    <t>ULTRACEMCO</t>
  </si>
  <si>
    <t>UPL</t>
  </si>
  <si>
    <t>VEDL</t>
  </si>
  <si>
    <t>VOLTAS</t>
  </si>
  <si>
    <t>WHIRLPOOL</t>
  </si>
  <si>
    <t>WIPRO</t>
  </si>
  <si>
    <t>ZEEL</t>
  </si>
  <si>
    <t>ZYDUSLIFE</t>
  </si>
  <si>
    <t>Tool_Activation_code</t>
  </si>
  <si>
    <t>PythonTrader</t>
  </si>
  <si>
    <t>Youtube</t>
  </si>
  <si>
    <t>Telegram</t>
  </si>
  <si>
    <t>Disclaimer : This tool has developed for traders to place a order via excel, its only an order execution tool not a trade suggestion. Any profit/loss happened due to any reason (technical/coding/….) end user will be only responsible. Please confirm if you want to use this tool.</t>
  </si>
  <si>
    <t>please update your finvasia credential
UserID , password is mandatory.
Please provide Totp,Vendor_code,api_secret to generate new session or provide existing token for login tool
Tool activation code should be PythonTrader or provided by developer</t>
  </si>
  <si>
    <t>Existing Token</t>
  </si>
  <si>
    <t>LoginMethod</t>
  </si>
  <si>
    <t>Welcome To Python Trader</t>
  </si>
  <si>
    <t>Tool developed by PythonTrader, Please follow us on social media site for more tools or freelancing work</t>
  </si>
  <si>
    <t>https://www.youtube.com/@pythontraders</t>
  </si>
  <si>
    <t>https://www.t.me/pythontrader</t>
  </si>
  <si>
    <t>BUY/SELL</t>
  </si>
  <si>
    <t>Entry Done @</t>
  </si>
  <si>
    <t>Exit Done @</t>
  </si>
  <si>
    <t>Trail Trigger Price</t>
  </si>
  <si>
    <t>Latest SL</t>
  </si>
  <si>
    <t>PnL</t>
  </si>
  <si>
    <t>Exposure M.</t>
  </si>
  <si>
    <t>SPAN M.</t>
  </si>
  <si>
    <t>PYTHON TRADER</t>
  </si>
  <si>
    <t>Order Type</t>
  </si>
  <si>
    <t>Overall PnL</t>
  </si>
  <si>
    <t>Total Cash</t>
  </si>
  <si>
    <t>Used Margin</t>
  </si>
  <si>
    <t>NFO:NIFTY24NOV22P18200</t>
  </si>
  <si>
    <t>NFO:NIFTY24NOV22C18400</t>
  </si>
  <si>
    <t>MIS</t>
  </si>
  <si>
    <t>OverALL PnL</t>
  </si>
  <si>
    <t>KillSwitch</t>
  </si>
  <si>
    <t>Reconfirm (0/1)</t>
  </si>
  <si>
    <t>Help : Please select execute in dropdown and reconfirm if you want to close all open position, 
it will close all your open position. 
So be careful while selecting/setting this value</t>
  </si>
  <si>
    <t>Please modify the cell whose header has orange colors. Others details will be set by system only.</t>
  </si>
  <si>
    <t>ML4KE5T562W664DAU7WEB6544LF757F2</t>
  </si>
  <si>
    <t>New_Session</t>
  </si>
  <si>
    <t>I accept the all Terms and Condition</t>
  </si>
  <si>
    <t>UserInput</t>
  </si>
  <si>
    <t>Symbol==&gt;&gt;</t>
  </si>
  <si>
    <t>expiry==&gt;&gt;</t>
  </si>
  <si>
    <t>RefreshRate==&gt;&gt;</t>
  </si>
  <si>
    <t>NoOfStrike==&gt;&gt;</t>
  </si>
  <si>
    <t>Additional Detail</t>
  </si>
  <si>
    <t>Spot LTP</t>
  </si>
  <si>
    <t>Total Call OI</t>
  </si>
  <si>
    <t>Total Put OI</t>
  </si>
  <si>
    <t>Total call change in OI</t>
  </si>
  <si>
    <t>Total Put change in OI</t>
  </si>
  <si>
    <t>Expiry Date</t>
  </si>
  <si>
    <t>CALLS</t>
  </si>
  <si>
    <t>PUTS</t>
  </si>
  <si>
    <t>Delta</t>
  </si>
  <si>
    <t>CHNG IN OI</t>
  </si>
  <si>
    <t>VOLUME</t>
  </si>
  <si>
    <t>IV</t>
  </si>
  <si>
    <t>CHNG</t>
  </si>
  <si>
    <t>BID QTY</t>
  </si>
  <si>
    <t>BID PRICE</t>
  </si>
  <si>
    <t>ASK PRICE</t>
  </si>
  <si>
    <t>ASK QTY</t>
  </si>
  <si>
    <t>STRIKE PRICE</t>
  </si>
  <si>
    <t>LTP of Call Max OI strike</t>
  </si>
  <si>
    <t>LTP of Put Max OI strike</t>
  </si>
  <si>
    <t>Call Max OI</t>
  </si>
  <si>
    <t>Put Max OI</t>
  </si>
  <si>
    <t>Call Max OI at Strike</t>
  </si>
  <si>
    <t>Put Max OI at Strike</t>
  </si>
  <si>
    <t>Call Max Change in OI</t>
  </si>
  <si>
    <t>Put Max Change in OI</t>
  </si>
  <si>
    <t>Call Max OI Change at Strike</t>
  </si>
  <si>
    <t>Put Max OI Change at Strike</t>
  </si>
  <si>
    <t>LTP of Call Max OI Change Strike</t>
  </si>
  <si>
    <t>LTP of Put Max OI Change Strike</t>
  </si>
  <si>
    <t>NSE:PNB-EQ</t>
  </si>
  <si>
    <t>Login Successful, Welcome MANJESH KUMAR
Tool Validity : Demo
Generated Token = (767300154eaddcc643a46528b6c1ad5d6d890b8733a27800e6b1165d16c284f2)</t>
  </si>
  <si>
    <t>FA12345</t>
  </si>
  <si>
    <t>ur_password</t>
  </si>
  <si>
    <t>FA12345_U</t>
  </si>
  <si>
    <t>8f120c8fa44eedfe25ef501d2a34de7e1</t>
  </si>
  <si>
    <t>Change Values in Yellow</t>
  </si>
  <si>
    <t>Pos1</t>
  </si>
  <si>
    <t>Pos2</t>
  </si>
  <si>
    <t>Pos3</t>
  </si>
  <si>
    <t>Pos4</t>
  </si>
  <si>
    <t>Pos5</t>
  </si>
  <si>
    <t>Pos6</t>
  </si>
  <si>
    <t>Pos7</t>
  </si>
  <si>
    <t>Pos8</t>
  </si>
  <si>
    <t>Pos9</t>
  </si>
  <si>
    <t>Pos10</t>
  </si>
  <si>
    <t>Total</t>
  </si>
  <si>
    <t>Underlying Price</t>
  </si>
  <si>
    <t>Date Offset</t>
  </si>
  <si>
    <t>Contracts</t>
  </si>
  <si>
    <t>Option Multiplier</t>
  </si>
  <si>
    <t>Type</t>
  </si>
  <si>
    <t>Call</t>
  </si>
  <si>
    <t>Put</t>
  </si>
  <si>
    <t>Risk Free Rate</t>
  </si>
  <si>
    <t>Strike</t>
  </si>
  <si>
    <t>Dividend Yield</t>
  </si>
  <si>
    <t>Market Price</t>
  </si>
  <si>
    <t>Graph Increment</t>
  </si>
  <si>
    <t>Implied Volatility</t>
  </si>
  <si>
    <t>Calculation Date</t>
  </si>
  <si>
    <t>Model Volatility</t>
  </si>
  <si>
    <t>Theoretical Price</t>
  </si>
  <si>
    <t>Premium Used</t>
  </si>
  <si>
    <t>Total Cost</t>
  </si>
  <si>
    <t>Position Delta</t>
  </si>
  <si>
    <t>Gamma</t>
  </si>
  <si>
    <t>Position Gamma</t>
  </si>
  <si>
    <t>Theta</t>
  </si>
  <si>
    <t>Position Theta</t>
  </si>
  <si>
    <t>strike</t>
  </si>
  <si>
    <t>civ</t>
  </si>
  <si>
    <t>piv</t>
  </si>
  <si>
    <t>Vega</t>
  </si>
  <si>
    <t>Position Vega</t>
  </si>
  <si>
    <t>Rho</t>
  </si>
  <si>
    <t>Position Rho</t>
  </si>
  <si>
    <t>today's dayend value gained/EXPIRY END GAIN</t>
  </si>
  <si>
    <t>Payoff at Expiration</t>
  </si>
  <si>
    <t>Lookup Table</t>
  </si>
  <si>
    <t>P&amp;L (Theoretical)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</si>
</sst>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 #,##0.00"/>
    <numFmt numFmtId="165" formatCode="[$-409]d\-mmm\-yy;@"/>
    <numFmt numFmtId="166" formatCode="#,##0.0"/>
  </numFmts>
  <fonts count="23">
    <font>
      <sz val="11"/>
      <color theme="1"/>
      <name val="Calibri"/>
      <family val="2"/>
      <scheme val="minor"/>
    </font>
    <font>
      <b/>
      <sz val="20"/>
      <color theme="0"/>
      <name val="Bodoni MT"/>
      <family val="1"/>
    </font>
    <font>
      <b/>
      <sz val="11"/>
      <color rgb="FF222222"/>
      <name val="Arial"/>
      <family val="2"/>
    </font>
    <font>
      <sz val="11"/>
      <color theme="1"/>
      <name val="Arial"/>
      <family val="2"/>
    </font>
    <font>
      <sz val="11"/>
      <color rgb="FF212226"/>
      <name val="Arial"/>
      <family val="2"/>
    </font>
    <font>
      <u/>
      <sz val="11"/>
      <color theme="10"/>
      <name val="Calibri"/>
      <family val="2"/>
    </font>
    <font>
      <b/>
      <sz val="11"/>
      <color rgb="FFFF0000"/>
      <name val="Arial"/>
      <family val="2"/>
    </font>
    <font>
      <sz val="11"/>
      <color theme="1"/>
      <name val="Calibri"/>
      <family val="2"/>
      <scheme val="minor"/>
    </font>
    <font>
      <b/>
      <sz val="11"/>
      <color rgb="FF3F3F3F"/>
      <name val="Calibri"/>
      <family val="2"/>
      <scheme val="minor"/>
    </font>
    <font>
      <b/>
      <sz val="14"/>
      <color theme="1"/>
      <name val="Calibri"/>
      <family val="2"/>
      <scheme val="minor"/>
    </font>
    <font>
      <b/>
      <sz val="15"/>
      <color rgb="FF3F3F3F"/>
      <name val="Calibri"/>
      <family val="2"/>
      <scheme val="minor"/>
    </font>
    <font>
      <b/>
      <sz val="20"/>
      <name val="Calibri"/>
      <family val="2"/>
      <scheme val="minor"/>
    </font>
    <font>
      <sz val="14"/>
      <color theme="1"/>
      <name val="Calibri"/>
      <family val="2"/>
      <scheme val="minor"/>
    </font>
    <font>
      <b/>
      <sz val="14"/>
      <color rgb="FF3F3F3F"/>
      <name val="Calibri"/>
      <family val="2"/>
      <scheme val="minor"/>
    </font>
    <font>
      <sz val="7"/>
      <color rgb="FFFFFFFF"/>
      <name val="Roboto"/>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0000"/>
      <name val="Calibri"/>
      <family val="2"/>
    </font>
    <font>
      <sz val="11"/>
      <color theme="10"/>
      <name val="Calibri"/>
      <family val="2"/>
      <scheme val="minor"/>
    </font>
    <font>
      <sz val="11"/>
      <color rgb="FF333333"/>
      <name val="Roboto"/>
    </font>
    <font>
      <sz val="9"/>
      <color indexed="81"/>
      <name val="Tahoma"/>
      <family val="2"/>
    </font>
  </fonts>
  <fills count="27">
    <fill>
      <patternFill patternType="none"/>
    </fill>
    <fill>
      <patternFill patternType="gray125"/>
    </fill>
    <fill>
      <patternFill patternType="solid">
        <fgColor theme="0" tint="-0.249977111117893"/>
        <bgColor indexed="64"/>
      </patternFill>
    </fill>
    <fill>
      <patternFill patternType="solid">
        <fgColor rgb="FF92D050"/>
        <bgColor indexed="64"/>
      </patternFill>
    </fill>
    <fill>
      <patternFill patternType="solid">
        <fgColor theme="9" tint="0.39997558519241921"/>
        <bgColor indexed="64"/>
      </patternFill>
    </fill>
    <fill>
      <patternFill patternType="solid">
        <fgColor theme="0"/>
        <bgColor indexed="64"/>
      </patternFill>
    </fill>
    <fill>
      <patternFill patternType="solid">
        <fgColor rgb="FF2E84C6"/>
        <bgColor indexed="64"/>
      </patternFill>
    </fill>
    <fill>
      <patternFill patternType="solid">
        <fgColor rgb="FFDCD620"/>
        <bgColor indexed="64"/>
      </patternFill>
    </fill>
    <fill>
      <patternFill patternType="solid">
        <fgColor rgb="FF76E018"/>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2F2F2"/>
      </patternFill>
    </fill>
    <fill>
      <patternFill patternType="solid">
        <fgColor rgb="FFFFFFCC"/>
      </patternFill>
    </fill>
    <fill>
      <patternFill patternType="solid">
        <fgColor rgb="FFFFFFFF"/>
        <bgColor indexed="64"/>
      </patternFill>
    </fill>
    <fill>
      <patternFill patternType="solid">
        <fgColor theme="3" tint="0.39997558519241921"/>
        <bgColor indexed="64"/>
      </patternFill>
    </fill>
    <fill>
      <patternFill patternType="solid">
        <fgColor theme="5"/>
        <bgColor indexed="64"/>
      </patternFill>
    </fill>
    <fill>
      <patternFill patternType="solid">
        <fgColor rgb="FFFFC000"/>
        <bgColor indexed="64"/>
      </patternFill>
    </fill>
    <fill>
      <patternFill patternType="solid">
        <fgColor theme="4"/>
        <bgColor indexed="64"/>
      </patternFill>
    </fill>
    <fill>
      <patternFill patternType="solid">
        <fgColor rgb="FF3A2D7D"/>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3"/>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F1C232"/>
        <bgColor rgb="FFF1C232"/>
      </patternFill>
    </fill>
  </fills>
  <borders count="35">
    <border>
      <left/>
      <right/>
      <top/>
      <bottom/>
      <diagonal/>
    </border>
    <border>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4"/>
      </left>
      <right/>
      <top/>
      <bottom/>
      <diagonal/>
    </border>
    <border>
      <left/>
      <right style="thin">
        <color rgb="FF3F3F3F"/>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medium">
        <color rgb="FFE3E3E3"/>
      </top>
      <bottom style="medium">
        <color rgb="FFE3E3E3"/>
      </bottom>
      <diagonal/>
    </border>
    <border>
      <left/>
      <right/>
      <top/>
      <bottom style="medium">
        <color rgb="FFE3E3E3"/>
      </bottom>
      <diagonal/>
    </border>
    <border>
      <left/>
      <right style="medium">
        <color rgb="FFE3E3E3"/>
      </right>
      <top/>
      <bottom style="medium">
        <color rgb="FFE3E3E3"/>
      </bottom>
      <diagonal/>
    </border>
    <border>
      <left style="medium">
        <color rgb="FFE3E3E3"/>
      </left>
      <right style="medium">
        <color rgb="FFE3E3E3"/>
      </right>
      <top style="medium">
        <color rgb="FFE3E3E3"/>
      </top>
      <bottom style="medium">
        <color rgb="FFE3E3E3"/>
      </bottom>
      <diagonal/>
    </border>
    <border>
      <left/>
      <right style="medium">
        <color rgb="FFE3E3E3"/>
      </right>
      <top style="medium">
        <color rgb="FFE3E3E3"/>
      </top>
      <bottom style="medium">
        <color rgb="FFE3E3E3"/>
      </bottom>
      <diagonal/>
    </border>
    <border>
      <left/>
      <right style="medium">
        <color rgb="FFE3E3E3"/>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style="thin">
        <color auto="1"/>
      </left>
      <right style="thin">
        <color auto="1"/>
      </right>
      <top/>
      <bottom style="thin">
        <color auto="1"/>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8" fillId="12" borderId="4" applyNumberFormat="0" applyAlignment="0" applyProtection="0"/>
    <xf numFmtId="0" fontId="7" fillId="13" borderId="5" applyNumberFormat="0" applyFont="0" applyAlignment="0" applyProtection="0"/>
  </cellStyleXfs>
  <cellXfs count="140">
    <xf numFmtId="0" fontId="0" fillId="0" borderId="0" xfId="0"/>
    <xf numFmtId="49" fontId="0" fillId="2" borderId="0" xfId="0" applyNumberFormat="1" applyFill="1"/>
    <xf numFmtId="1" fontId="0" fillId="0" borderId="0" xfId="0" applyNumberFormat="1"/>
    <xf numFmtId="49" fontId="0" fillId="0" borderId="0" xfId="0" applyNumberFormat="1"/>
    <xf numFmtId="2" fontId="0" fillId="0" borderId="1" xfId="0" applyNumberFormat="1" applyFill="1" applyBorder="1"/>
    <xf numFmtId="0" fontId="0" fillId="0" borderId="0" xfId="0" applyFill="1" applyBorder="1"/>
    <xf numFmtId="0" fontId="0" fillId="3" borderId="0" xfId="0" applyFill="1"/>
    <xf numFmtId="15" fontId="0" fillId="0" borderId="0" xfId="0" applyNumberFormat="1"/>
    <xf numFmtId="1" fontId="0" fillId="4" borderId="0" xfId="0" applyNumberFormat="1" applyFill="1"/>
    <xf numFmtId="0" fontId="5" fillId="7" borderId="0" xfId="1" applyFill="1" applyBorder="1" applyAlignment="1" applyProtection="1">
      <alignment horizontal="center"/>
    </xf>
    <xf numFmtId="49" fontId="0" fillId="4" borderId="0" xfId="0" applyNumberFormat="1" applyFill="1" applyAlignment="1">
      <alignment vertical="top" wrapText="1"/>
    </xf>
    <xf numFmtId="0" fontId="2" fillId="9" borderId="0" xfId="0" applyFont="1" applyFill="1"/>
    <xf numFmtId="0" fontId="3" fillId="10" borderId="0" xfId="0" applyFont="1" applyFill="1"/>
    <xf numFmtId="1" fontId="0" fillId="10" borderId="0" xfId="0" applyNumberFormat="1" applyFill="1"/>
    <xf numFmtId="0" fontId="4" fillId="10" borderId="0" xfId="0" applyFont="1" applyFill="1"/>
    <xf numFmtId="49" fontId="0" fillId="11" borderId="0" xfId="0" applyNumberFormat="1" applyFill="1"/>
    <xf numFmtId="0" fontId="6" fillId="11" borderId="0" xfId="0" applyFont="1" applyFill="1"/>
    <xf numFmtId="49" fontId="9" fillId="4" borderId="3" xfId="0" applyNumberFormat="1" applyFont="1" applyFill="1" applyBorder="1" applyAlignment="1">
      <alignment horizontal="center" vertical="center" wrapText="1"/>
    </xf>
    <xf numFmtId="49" fontId="9" fillId="2" borderId="3" xfId="0" applyNumberFormat="1" applyFont="1" applyFill="1" applyBorder="1" applyAlignment="1">
      <alignment horizontal="center" vertical="center" wrapText="1"/>
    </xf>
    <xf numFmtId="0" fontId="10" fillId="12" borderId="3" xfId="2" applyFont="1" applyBorder="1" applyAlignment="1">
      <alignment horizontal="center" vertical="center" wrapText="1"/>
    </xf>
    <xf numFmtId="0" fontId="10" fillId="12" borderId="3" xfId="2" applyFont="1" applyBorder="1" applyAlignment="1">
      <alignment horizontal="center" vertical="center"/>
    </xf>
    <xf numFmtId="0" fontId="8" fillId="12" borderId="3" xfId="2" applyBorder="1" applyAlignment="1">
      <alignment horizontal="center" vertical="center"/>
    </xf>
    <xf numFmtId="164" fontId="10" fillId="14" borderId="8" xfId="2" applyNumberFormat="1" applyFont="1" applyFill="1" applyBorder="1" applyAlignment="1" applyProtection="1">
      <alignment horizontal="center" vertical="center"/>
    </xf>
    <xf numFmtId="164" fontId="10" fillId="12" borderId="8" xfId="2" applyNumberFormat="1" applyFont="1" applyBorder="1" applyAlignment="1" applyProtection="1">
      <alignment horizontal="center" vertical="center"/>
    </xf>
    <xf numFmtId="0" fontId="8" fillId="12" borderId="8" xfId="2" applyBorder="1" applyAlignment="1" applyProtection="1">
      <alignment horizontal="center" vertical="center"/>
    </xf>
    <xf numFmtId="0" fontId="12" fillId="15" borderId="0" xfId="0" applyFont="1" applyFill="1" applyAlignment="1">
      <alignment horizontal="center" vertical="center"/>
    </xf>
    <xf numFmtId="0" fontId="13" fillId="12" borderId="3" xfId="2" applyFont="1" applyBorder="1" applyAlignment="1">
      <alignment horizontal="center" vertical="center"/>
    </xf>
    <xf numFmtId="0" fontId="13" fillId="12" borderId="3" xfId="2" applyFont="1" applyBorder="1" applyAlignment="1">
      <alignment horizontal="center" vertical="center" wrapText="1"/>
    </xf>
    <xf numFmtId="164" fontId="10" fillId="11" borderId="8" xfId="2" applyNumberFormat="1" applyFont="1" applyFill="1" applyBorder="1" applyAlignment="1" applyProtection="1">
      <alignment horizontal="center" vertical="center"/>
    </xf>
    <xf numFmtId="0" fontId="0" fillId="17" borderId="0" xfId="0" applyFill="1" applyAlignment="1">
      <alignment horizontal="center" vertical="center"/>
    </xf>
    <xf numFmtId="0" fontId="0" fillId="4" borderId="3"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0" fillId="0" borderId="3" xfId="0" applyBorder="1" applyAlignment="1">
      <alignment horizontal="left" vertical="center"/>
    </xf>
    <xf numFmtId="0" fontId="0" fillId="0" borderId="0" xfId="0" applyAlignment="1">
      <alignment wrapText="1"/>
    </xf>
    <xf numFmtId="14" fontId="0" fillId="0" borderId="0" xfId="0" applyNumberFormat="1"/>
    <xf numFmtId="0" fontId="14" fillId="19" borderId="12" xfId="0" applyFont="1" applyFill="1" applyBorder="1" applyAlignment="1">
      <alignment horizontal="center" vertical="center" wrapText="1"/>
    </xf>
    <xf numFmtId="0" fontId="14" fillId="19" borderId="13" xfId="0" applyFont="1" applyFill="1" applyBorder="1" applyAlignment="1">
      <alignment horizontal="center" vertical="center" wrapText="1"/>
    </xf>
    <xf numFmtId="0" fontId="14" fillId="19" borderId="14" xfId="0" applyFont="1" applyFill="1" applyBorder="1" applyAlignment="1">
      <alignment horizontal="center" vertical="center" wrapText="1"/>
    </xf>
    <xf numFmtId="0" fontId="14" fillId="19" borderId="15" xfId="0" applyFont="1" applyFill="1" applyBorder="1" applyAlignment="1">
      <alignment horizontal="center" vertical="center" wrapText="1"/>
    </xf>
    <xf numFmtId="0" fontId="14" fillId="19" borderId="16" xfId="0" applyFont="1" applyFill="1" applyBorder="1" applyAlignment="1">
      <alignment horizontal="center" vertical="center" wrapText="1"/>
    </xf>
    <xf numFmtId="0" fontId="14" fillId="19" borderId="17" xfId="0" applyFont="1" applyFill="1" applyBorder="1" applyAlignment="1">
      <alignment horizontal="center" vertical="center" wrapText="1"/>
    </xf>
    <xf numFmtId="14" fontId="17" fillId="20" borderId="0" xfId="0" quotePrefix="1" applyNumberFormat="1" applyFont="1" applyFill="1" applyAlignment="1">
      <alignment horizontal="right"/>
    </xf>
    <xf numFmtId="0" fontId="18" fillId="20" borderId="0" xfId="0" applyFont="1" applyFill="1" applyAlignment="1">
      <alignment horizontal="center"/>
    </xf>
    <xf numFmtId="22" fontId="17" fillId="21" borderId="0" xfId="0" applyNumberFormat="1" applyFont="1" applyFill="1"/>
    <xf numFmtId="0" fontId="17" fillId="21" borderId="0" xfId="0" applyFont="1" applyFill="1"/>
    <xf numFmtId="14" fontId="17" fillId="21" borderId="0" xfId="0" applyNumberFormat="1" applyFont="1" applyFill="1"/>
    <xf numFmtId="0" fontId="17" fillId="22" borderId="0" xfId="0" applyFont="1" applyFill="1"/>
    <xf numFmtId="0" fontId="15" fillId="23" borderId="18" xfId="0" applyFont="1" applyFill="1" applyBorder="1" applyAlignment="1">
      <alignment horizontal="right"/>
    </xf>
    <xf numFmtId="0" fontId="16" fillId="23" borderId="19" xfId="0" applyFont="1" applyFill="1" applyBorder="1" applyAlignment="1">
      <alignment horizontal="center"/>
    </xf>
    <xf numFmtId="0" fontId="16" fillId="23" borderId="1" xfId="0" applyFont="1" applyFill="1" applyBorder="1"/>
    <xf numFmtId="0" fontId="16" fillId="23" borderId="20" xfId="0" applyFont="1" applyFill="1" applyBorder="1"/>
    <xf numFmtId="0" fontId="16" fillId="23" borderId="21" xfId="0" applyFont="1" applyFill="1" applyBorder="1" applyAlignment="1">
      <alignment horizontal="right"/>
    </xf>
    <xf numFmtId="4" fontId="17" fillId="0" borderId="8" xfId="0" applyNumberFormat="1" applyFont="1" applyFill="1" applyBorder="1"/>
    <xf numFmtId="0" fontId="16" fillId="23" borderId="6" xfId="0" applyFont="1" applyFill="1" applyBorder="1" applyAlignment="1">
      <alignment horizontal="right"/>
    </xf>
    <xf numFmtId="16" fontId="17" fillId="5" borderId="6" xfId="0" applyNumberFormat="1" applyFont="1" applyFill="1" applyBorder="1"/>
    <xf numFmtId="0" fontId="17" fillId="21" borderId="11" xfId="0" applyFont="1" applyFill="1" applyBorder="1"/>
    <xf numFmtId="0" fontId="16" fillId="23" borderId="6" xfId="0" applyFont="1" applyFill="1" applyBorder="1"/>
    <xf numFmtId="0" fontId="16" fillId="23" borderId="0" xfId="0" applyFont="1" applyFill="1" applyBorder="1" applyAlignment="1">
      <alignment horizontal="right"/>
    </xf>
    <xf numFmtId="0" fontId="17" fillId="24" borderId="22" xfId="0" applyFont="1" applyFill="1" applyBorder="1" applyAlignment="1">
      <alignment horizontal="right"/>
    </xf>
    <xf numFmtId="0" fontId="17" fillId="24" borderId="23" xfId="0" applyFont="1" applyFill="1" applyBorder="1" applyAlignment="1">
      <alignment horizontal="right"/>
    </xf>
    <xf numFmtId="0" fontId="17" fillId="24" borderId="24" xfId="0" applyFont="1" applyFill="1" applyBorder="1" applyAlignment="1">
      <alignment horizontal="right"/>
    </xf>
    <xf numFmtId="0" fontId="17" fillId="24" borderId="25" xfId="0" applyFont="1" applyFill="1" applyBorder="1" applyAlignment="1">
      <alignment horizontal="right"/>
    </xf>
    <xf numFmtId="0" fontId="17" fillId="24" borderId="26" xfId="0" applyFont="1" applyFill="1" applyBorder="1" applyAlignment="1">
      <alignment horizontal="right"/>
    </xf>
    <xf numFmtId="16" fontId="16" fillId="23" borderId="0" xfId="0" applyNumberFormat="1" applyFont="1" applyFill="1" applyBorder="1" applyAlignment="1">
      <alignment horizontal="right"/>
    </xf>
    <xf numFmtId="3" fontId="17" fillId="0" borderId="22" xfId="0" applyNumberFormat="1" applyFont="1" applyFill="1" applyBorder="1"/>
    <xf numFmtId="165" fontId="17" fillId="24" borderId="27" xfId="0" applyNumberFormat="1" applyFont="1" applyFill="1" applyBorder="1" applyAlignment="1">
      <alignment horizontal="right"/>
    </xf>
    <xf numFmtId="10" fontId="17" fillId="24" borderId="22" xfId="0" applyNumberFormat="1" applyFont="1" applyFill="1" applyBorder="1"/>
    <xf numFmtId="0" fontId="17" fillId="24" borderId="28" xfId="0" applyFont="1" applyFill="1" applyBorder="1" applyAlignment="1">
      <alignment horizontal="right"/>
    </xf>
    <xf numFmtId="1" fontId="17" fillId="24" borderId="29" xfId="0" applyNumberFormat="1" applyFont="1" applyFill="1" applyBorder="1" applyAlignment="1">
      <alignment horizontal="right"/>
    </xf>
    <xf numFmtId="0" fontId="17" fillId="24" borderId="29" xfId="0" applyFont="1" applyFill="1" applyBorder="1" applyAlignment="1">
      <alignment horizontal="right"/>
    </xf>
    <xf numFmtId="0" fontId="17" fillId="24" borderId="30" xfId="0" applyFont="1" applyFill="1" applyBorder="1" applyAlignment="1">
      <alignment horizontal="right"/>
    </xf>
    <xf numFmtId="0" fontId="16" fillId="23" borderId="22" xfId="0" applyFont="1" applyFill="1" applyBorder="1" applyAlignment="1">
      <alignment horizontal="right"/>
    </xf>
    <xf numFmtId="4" fontId="17" fillId="5" borderId="9" xfId="0" applyNumberFormat="1" applyFont="1" applyFill="1" applyBorder="1"/>
    <xf numFmtId="3" fontId="17" fillId="24" borderId="22" xfId="0" applyNumberFormat="1" applyFont="1" applyFill="1" applyBorder="1"/>
    <xf numFmtId="10" fontId="17" fillId="25" borderId="9" xfId="0" applyNumberFormat="1" applyFont="1" applyFill="1" applyBorder="1"/>
    <xf numFmtId="10" fontId="17" fillId="25" borderId="2" xfId="0" applyNumberFormat="1" applyFont="1" applyFill="1" applyBorder="1"/>
    <xf numFmtId="10" fontId="17" fillId="25" borderId="10" xfId="0" applyNumberFormat="1" applyFont="1" applyFill="1" applyBorder="1"/>
    <xf numFmtId="16" fontId="17" fillId="21" borderId="0" xfId="0" applyNumberFormat="1" applyFont="1" applyFill="1"/>
    <xf numFmtId="22" fontId="17" fillId="25" borderId="8" xfId="0" applyNumberFormat="1" applyFont="1" applyFill="1" applyBorder="1"/>
    <xf numFmtId="10" fontId="17" fillId="5" borderId="9" xfId="0" applyNumberFormat="1" applyFont="1" applyFill="1" applyBorder="1" applyAlignment="1">
      <alignment horizontal="right"/>
    </xf>
    <xf numFmtId="10" fontId="17" fillId="21" borderId="11" xfId="0" applyNumberFormat="1" applyFont="1" applyFill="1" applyBorder="1"/>
    <xf numFmtId="0" fontId="17" fillId="21" borderId="0" xfId="0" applyFont="1" applyFill="1" applyBorder="1"/>
    <xf numFmtId="4" fontId="17" fillId="25" borderId="21" xfId="0" applyNumberFormat="1" applyFont="1" applyFill="1" applyBorder="1"/>
    <xf numFmtId="4" fontId="17" fillId="25" borderId="31" xfId="0" applyNumberFormat="1" applyFont="1" applyFill="1" applyBorder="1"/>
    <xf numFmtId="0" fontId="16" fillId="23" borderId="32" xfId="0" applyFont="1" applyFill="1" applyBorder="1" applyAlignment="1">
      <alignment horizontal="right"/>
    </xf>
    <xf numFmtId="4" fontId="17" fillId="25" borderId="9" xfId="0" applyNumberFormat="1" applyFont="1" applyFill="1" applyBorder="1"/>
    <xf numFmtId="4" fontId="17" fillId="25" borderId="2" xfId="0" applyNumberFormat="1" applyFont="1" applyFill="1" applyBorder="1"/>
    <xf numFmtId="4" fontId="17" fillId="25" borderId="10" xfId="0" applyNumberFormat="1" applyFont="1" applyFill="1" applyBorder="1"/>
    <xf numFmtId="4" fontId="17" fillId="21" borderId="1" xfId="0" applyNumberFormat="1" applyFont="1" applyFill="1" applyBorder="1"/>
    <xf numFmtId="0" fontId="16" fillId="23" borderId="8" xfId="0" applyFont="1" applyFill="1" applyBorder="1" applyAlignment="1">
      <alignment horizontal="right"/>
    </xf>
    <xf numFmtId="4" fontId="17" fillId="25" borderId="6" xfId="0" applyNumberFormat="1" applyFont="1" applyFill="1" applyBorder="1"/>
    <xf numFmtId="4" fontId="17" fillId="25" borderId="0" xfId="0" applyNumberFormat="1" applyFont="1" applyFill="1" applyBorder="1"/>
    <xf numFmtId="4" fontId="17" fillId="25" borderId="11" xfId="0" applyNumberFormat="1" applyFont="1" applyFill="1" applyBorder="1"/>
    <xf numFmtId="4" fontId="17" fillId="21" borderId="22" xfId="0" applyNumberFormat="1" applyFont="1" applyFill="1" applyBorder="1"/>
    <xf numFmtId="0" fontId="19" fillId="26" borderId="0" xfId="0" applyFont="1" applyFill="1" applyAlignment="1"/>
    <xf numFmtId="0" fontId="20" fillId="14" borderId="14" xfId="1" applyFont="1" applyFill="1" applyBorder="1" applyAlignment="1" applyProtection="1">
      <alignment horizontal="center" vertical="top" wrapText="1"/>
    </xf>
    <xf numFmtId="0" fontId="21" fillId="14" borderId="14" xfId="0" applyFont="1" applyFill="1" applyBorder="1" applyAlignment="1">
      <alignment horizontal="center" vertical="top" wrapText="1"/>
    </xf>
    <xf numFmtId="4" fontId="17" fillId="21" borderId="32" xfId="0" applyNumberFormat="1" applyFont="1" applyFill="1" applyBorder="1"/>
    <xf numFmtId="4" fontId="17" fillId="21" borderId="0" xfId="0" applyNumberFormat="1" applyFont="1" applyFill="1"/>
    <xf numFmtId="4" fontId="18" fillId="21" borderId="0" xfId="0" applyNumberFormat="1" applyFont="1" applyFill="1" applyAlignment="1">
      <alignment horizontal="left"/>
    </xf>
    <xf numFmtId="4" fontId="17" fillId="3" borderId="3" xfId="0" applyNumberFormat="1" applyFont="1" applyFill="1" applyBorder="1"/>
    <xf numFmtId="0" fontId="17" fillId="21" borderId="2" xfId="0" applyFont="1" applyFill="1" applyBorder="1" applyAlignment="1">
      <alignment horizontal="right"/>
    </xf>
    <xf numFmtId="4" fontId="17" fillId="21" borderId="2" xfId="0" applyNumberFormat="1" applyFont="1" applyFill="1" applyBorder="1"/>
    <xf numFmtId="4" fontId="17" fillId="21" borderId="2" xfId="0" applyNumberFormat="1" applyFont="1" applyFill="1" applyBorder="1" applyAlignment="1">
      <alignment horizontal="left"/>
    </xf>
    <xf numFmtId="0" fontId="17" fillId="21" borderId="2" xfId="0" applyFont="1" applyFill="1" applyBorder="1"/>
    <xf numFmtId="0" fontId="17" fillId="21" borderId="10" xfId="0" applyFont="1" applyFill="1" applyBorder="1" applyAlignment="1">
      <alignment horizontal="right"/>
    </xf>
    <xf numFmtId="166" fontId="17" fillId="21" borderId="2" xfId="0" applyNumberFormat="1" applyFont="1" applyFill="1" applyBorder="1"/>
    <xf numFmtId="166" fontId="17" fillId="9" borderId="2" xfId="0" applyNumberFormat="1" applyFont="1" applyFill="1" applyBorder="1"/>
    <xf numFmtId="166" fontId="17" fillId="21" borderId="10" xfId="0" applyNumberFormat="1" applyFont="1" applyFill="1" applyBorder="1"/>
    <xf numFmtId="0" fontId="17" fillId="21" borderId="11" xfId="0" applyFont="1" applyFill="1" applyBorder="1" applyAlignment="1">
      <alignment horizontal="right"/>
    </xf>
    <xf numFmtId="4" fontId="17" fillId="21" borderId="0" xfId="0" applyNumberFormat="1" applyFont="1" applyFill="1" applyBorder="1"/>
    <xf numFmtId="4" fontId="17" fillId="21" borderId="11" xfId="0" applyNumberFormat="1" applyFont="1" applyFill="1" applyBorder="1"/>
    <xf numFmtId="0" fontId="17" fillId="21" borderId="33" xfId="0" applyFont="1" applyFill="1" applyBorder="1" applyAlignment="1">
      <alignment horizontal="right"/>
    </xf>
    <xf numFmtId="166" fontId="17" fillId="21" borderId="34" xfId="0" applyNumberFormat="1" applyFont="1" applyFill="1" applyBorder="1"/>
    <xf numFmtId="166" fontId="17" fillId="21" borderId="33" xfId="0" applyNumberFormat="1" applyFont="1" applyFill="1" applyBorder="1"/>
    <xf numFmtId="0" fontId="17" fillId="21" borderId="0" xfId="0" applyFont="1" applyFill="1" applyAlignment="1">
      <alignment horizontal="right"/>
    </xf>
    <xf numFmtId="4" fontId="17" fillId="21" borderId="2" xfId="0" applyNumberFormat="1" applyFont="1" applyFill="1" applyBorder="1" applyAlignment="1">
      <alignment horizontal="right"/>
    </xf>
    <xf numFmtId="4" fontId="17" fillId="21" borderId="10" xfId="0" applyNumberFormat="1" applyFont="1" applyFill="1" applyBorder="1"/>
    <xf numFmtId="0" fontId="17" fillId="21" borderId="0" xfId="0" applyFont="1" applyFill="1" applyAlignment="1">
      <alignment horizontal="left"/>
    </xf>
    <xf numFmtId="0" fontId="1" fillId="6" borderId="0" xfId="0" applyFont="1" applyFill="1" applyBorder="1" applyAlignment="1">
      <alignment horizontal="center"/>
    </xf>
    <xf numFmtId="0" fontId="1" fillId="5" borderId="0" xfId="0" applyFont="1" applyFill="1" applyBorder="1" applyAlignment="1">
      <alignment horizontal="center"/>
    </xf>
    <xf numFmtId="0" fontId="0" fillId="6" borderId="0" xfId="0" applyFill="1" applyAlignment="1">
      <alignment horizontal="center"/>
    </xf>
    <xf numFmtId="0" fontId="0" fillId="5" borderId="0" xfId="0" applyFill="1" applyAlignment="1">
      <alignment horizontal="center"/>
    </xf>
    <xf numFmtId="49" fontId="0" fillId="8" borderId="0" xfId="0" applyNumberFormat="1" applyFill="1" applyAlignment="1">
      <alignment horizontal="center" vertical="center" wrapText="1"/>
    </xf>
    <xf numFmtId="49" fontId="0" fillId="2" borderId="0" xfId="0" applyNumberFormat="1" applyFill="1" applyAlignment="1">
      <alignment horizontal="center" vertical="center" wrapText="1"/>
    </xf>
    <xf numFmtId="49" fontId="0" fillId="4" borderId="0" xfId="0" applyNumberFormat="1" applyFill="1" applyAlignment="1">
      <alignment horizontal="left" vertical="top" wrapText="1"/>
    </xf>
    <xf numFmtId="0" fontId="0" fillId="6" borderId="0" xfId="0" applyFill="1" applyAlignment="1">
      <alignment horizontal="center" vertical="center" wrapText="1"/>
    </xf>
    <xf numFmtId="0" fontId="11" fillId="6" borderId="6" xfId="3" applyFont="1" applyFill="1" applyBorder="1" applyAlignment="1" applyProtection="1">
      <alignment horizontal="center" vertical="center"/>
    </xf>
    <xf numFmtId="0" fontId="11" fillId="13" borderId="0" xfId="3" applyFont="1" applyBorder="1" applyAlignment="1" applyProtection="1">
      <alignment horizontal="center" vertical="center"/>
    </xf>
    <xf numFmtId="0" fontId="11" fillId="13" borderId="7" xfId="3" applyFont="1" applyBorder="1" applyAlignment="1" applyProtection="1">
      <alignment horizontal="center" vertical="center"/>
    </xf>
    <xf numFmtId="0" fontId="11" fillId="13" borderId="6" xfId="3" applyFont="1" applyBorder="1" applyAlignment="1" applyProtection="1">
      <alignment horizontal="center" vertical="center"/>
    </xf>
    <xf numFmtId="49" fontId="9" fillId="4" borderId="6"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9" fillId="4" borderId="11" xfId="0" applyNumberFormat="1" applyFont="1" applyFill="1" applyBorder="1" applyAlignment="1">
      <alignment horizontal="center" vertical="center" wrapText="1"/>
    </xf>
    <xf numFmtId="49" fontId="9" fillId="4" borderId="9" xfId="0" applyNumberFormat="1" applyFont="1" applyFill="1" applyBorder="1" applyAlignment="1">
      <alignment horizontal="center" vertical="center" wrapText="1"/>
    </xf>
    <xf numFmtId="49" fontId="9" fillId="4" borderId="2" xfId="0" applyNumberFormat="1" applyFont="1" applyFill="1" applyBorder="1" applyAlignment="1">
      <alignment horizontal="center" vertical="center" wrapText="1"/>
    </xf>
    <xf numFmtId="49" fontId="9" fillId="4" borderId="10" xfId="0" applyNumberFormat="1" applyFont="1" applyFill="1" applyBorder="1" applyAlignment="1">
      <alignment horizontal="center" vertical="center" wrapText="1"/>
    </xf>
    <xf numFmtId="0" fontId="0" fillId="16" borderId="0" xfId="0" applyFill="1" applyAlignment="1">
      <alignment horizontal="left" vertical="top" wrapText="1"/>
    </xf>
    <xf numFmtId="0" fontId="0" fillId="18" borderId="0" xfId="0" applyFill="1" applyAlignment="1">
      <alignment horizontal="center"/>
    </xf>
    <xf numFmtId="0" fontId="14" fillId="19" borderId="0" xfId="0" applyFont="1" applyFill="1" applyBorder="1" applyAlignment="1">
      <alignment horizontal="center" vertical="center" wrapText="1"/>
    </xf>
  </cellXfs>
  <cellStyles count="4">
    <cellStyle name="Hyperlink" xfId="1" builtinId="8"/>
    <cellStyle name="Normal" xfId="0" builtinId="0"/>
    <cellStyle name="Note" xfId="3" builtinId="10"/>
    <cellStyle name="Output" xfId="2" builtinId="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"Payoff at Expiration"</c:f>
          <c:strCache>
            <c:ptCount val="1"/>
            <c:pt idx="0">
              <c:v>Payoff at Expiration</c:v>
            </c:pt>
          </c:strCache>
        </c:strRef>
      </c:tx>
      <c:layout/>
      <c:overlay val="0"/>
      <c:spPr>
        <a:noFill/>
        <a:ln w="25400">
          <a:noFill/>
        </a:ln>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tx2"/>
              </a:solidFill>
              <a:round/>
            </a:ln>
            <a:effectLst/>
          </c:spPr>
          <c:marker>
            <c:symbol val="none"/>
          </c:marker>
          <c:cat>
            <c:numRef>
              <c:f>[1]Payoff!$B$34:$L$34</c:f>
              <c:numCache>
                <c:formatCode>General</c:formatCode>
                <c:ptCount val="11"/>
                <c:pt idx="0">
                  <c:v>41600</c:v>
                </c:pt>
                <c:pt idx="1">
                  <c:v>41700</c:v>
                </c:pt>
                <c:pt idx="2">
                  <c:v>41800</c:v>
                </c:pt>
                <c:pt idx="3">
                  <c:v>41900</c:v>
                </c:pt>
                <c:pt idx="4">
                  <c:v>42000</c:v>
                </c:pt>
                <c:pt idx="5">
                  <c:v>42137.05</c:v>
                </c:pt>
                <c:pt idx="6">
                  <c:v>42200</c:v>
                </c:pt>
                <c:pt idx="7">
                  <c:v>42300</c:v>
                </c:pt>
                <c:pt idx="8">
                  <c:v>42400</c:v>
                </c:pt>
                <c:pt idx="9">
                  <c:v>42500</c:v>
                </c:pt>
                <c:pt idx="10">
                  <c:v>42600</c:v>
                </c:pt>
              </c:numCache>
            </c:numRef>
          </c:cat>
          <c:val>
            <c:numRef>
              <c:f>[1]Payoff!$B$45:$L$45</c:f>
              <c:numCache>
                <c:formatCode>General</c:formatCode>
                <c:ptCount val="11"/>
                <c:pt idx="0">
                  <c:v>-41.149999999999864</c:v>
                </c:pt>
                <c:pt idx="1">
                  <c:v>58.850000000000023</c:v>
                </c:pt>
                <c:pt idx="2">
                  <c:v>158.85000000000002</c:v>
                </c:pt>
                <c:pt idx="3">
                  <c:v>58.850000000000023</c:v>
                </c:pt>
                <c:pt idx="4">
                  <c:v>-41.149999999999977</c:v>
                </c:pt>
                <c:pt idx="5">
                  <c:v>95.900000000002933</c:v>
                </c:pt>
                <c:pt idx="6">
                  <c:v>158.85000000000002</c:v>
                </c:pt>
                <c:pt idx="7">
                  <c:v>58.850000000000023</c:v>
                </c:pt>
                <c:pt idx="8">
                  <c:v>-41.149999999999977</c:v>
                </c:pt>
                <c:pt idx="9">
                  <c:v>-41.149999999999977</c:v>
                </c:pt>
                <c:pt idx="10">
                  <c:v>-41.149999999999977</c:v>
                </c:pt>
              </c:numCache>
            </c:numRef>
          </c:val>
          <c:smooth val="0"/>
          <c:extLst>
            <c:ext xmlns:c16="http://schemas.microsoft.com/office/drawing/2014/chart" uri="{C3380CC4-5D6E-409C-BE32-E72D297353CC}">
              <c16:uniqueId val="{00000000-6A4A-49BB-B978-FE71C34DEC04}"/>
            </c:ext>
          </c:extLst>
        </c:ser>
        <c:dLbls>
          <c:showLegendKey val="0"/>
          <c:showVal val="0"/>
          <c:showCatName val="0"/>
          <c:showSerName val="0"/>
          <c:showPercent val="0"/>
          <c:showBubbleSize val="0"/>
        </c:dLbls>
        <c:smooth val="0"/>
        <c:axId val="379743616"/>
        <c:axId val="465945728"/>
      </c:lineChart>
      <c:catAx>
        <c:axId val="379743616"/>
        <c:scaling>
          <c:orientation val="minMax"/>
        </c:scaling>
        <c:delete val="0"/>
        <c:axPos val="b"/>
        <c:majorGridlines/>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45728"/>
        <c:crosses val="autoZero"/>
        <c:auto val="1"/>
        <c:lblAlgn val="ctr"/>
        <c:lblOffset val="100"/>
        <c:noMultiLvlLbl val="0"/>
      </c:catAx>
      <c:valAx>
        <c:axId val="465945728"/>
        <c:scaling>
          <c:orientation val="minMax"/>
        </c:scaling>
        <c:delete val="0"/>
        <c:axPos val="l"/>
        <c:majorGridlines/>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74361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"P&amp;L (Theoretical)"</c:f>
          <c:strCache>
            <c:ptCount val="1"/>
            <c:pt idx="0">
              <c:v>P&amp;L (Theoretical)</c:v>
            </c:pt>
          </c:strCache>
        </c:strRef>
      </c:tx>
      <c:layout/>
      <c:overlay val="0"/>
      <c:spPr>
        <a:noFill/>
        <a:ln w="25400">
          <a:noFill/>
        </a:ln>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tx2"/>
              </a:solidFill>
              <a:round/>
            </a:ln>
            <a:effectLst/>
          </c:spPr>
          <c:marker>
            <c:symbol val="none"/>
          </c:marker>
          <c:cat>
            <c:numRef>
              <c:f>[1]Payoff!$B$48:$L$48</c:f>
              <c:numCache>
                <c:formatCode>General</c:formatCode>
                <c:ptCount val="11"/>
                <c:pt idx="0">
                  <c:v>41637.050000000003</c:v>
                </c:pt>
                <c:pt idx="1">
                  <c:v>41737.050000000003</c:v>
                </c:pt>
                <c:pt idx="2">
                  <c:v>41837.050000000003</c:v>
                </c:pt>
                <c:pt idx="3">
                  <c:v>41937.050000000003</c:v>
                </c:pt>
                <c:pt idx="4">
                  <c:v>42037.05</c:v>
                </c:pt>
                <c:pt idx="5">
                  <c:v>42137.05</c:v>
                </c:pt>
                <c:pt idx="6">
                  <c:v>42237.05</c:v>
                </c:pt>
                <c:pt idx="7">
                  <c:v>42337.05</c:v>
                </c:pt>
                <c:pt idx="8">
                  <c:v>42437.05</c:v>
                </c:pt>
                <c:pt idx="9">
                  <c:v>42537.05</c:v>
                </c:pt>
                <c:pt idx="10">
                  <c:v>42637.05</c:v>
                </c:pt>
              </c:numCache>
            </c:numRef>
          </c:cat>
          <c:val>
            <c:numRef>
              <c:f>[1]Payoff!$B$59:$L$59</c:f>
              <c:numCache>
                <c:formatCode>General</c:formatCode>
                <c:ptCount val="11"/>
                <c:pt idx="0">
                  <c:v>7.6991702989795385</c:v>
                </c:pt>
                <c:pt idx="1">
                  <c:v>7.6744968109138654</c:v>
                </c:pt>
                <c:pt idx="2">
                  <c:v>7.3215267185674975</c:v>
                </c:pt>
                <c:pt idx="3">
                  <c:v>6.6500762209740287</c:v>
                </c:pt>
                <c:pt idx="4">
                  <c:v>5.676071049315965</c:v>
                </c:pt>
                <c:pt idx="5">
                  <c:v>4.4209406432051992</c:v>
                </c:pt>
                <c:pt idx="6">
                  <c:v>2.9108555503077014</c:v>
                </c:pt>
                <c:pt idx="7">
                  <c:v>1.1758448660799559</c:v>
                </c:pt>
                <c:pt idx="8">
                  <c:v>-0.75116601821753193</c:v>
                </c:pt>
                <c:pt idx="9">
                  <c:v>-2.8353559079017714</c:v>
                </c:pt>
                <c:pt idx="10">
                  <c:v>-5.0410060832467707</c:v>
                </c:pt>
              </c:numCache>
            </c:numRef>
          </c:val>
          <c:smooth val="1"/>
          <c:extLst>
            <c:ext xmlns:c16="http://schemas.microsoft.com/office/drawing/2014/chart" uri="{C3380CC4-5D6E-409C-BE32-E72D297353CC}">
              <c16:uniqueId val="{00000000-AFEA-4BFF-8527-BA1BB1B1CAD8}"/>
            </c:ext>
          </c:extLst>
        </c:ser>
        <c:dLbls>
          <c:showLegendKey val="0"/>
          <c:showVal val="0"/>
          <c:showCatName val="0"/>
          <c:showSerName val="0"/>
          <c:showPercent val="0"/>
          <c:showBubbleSize val="0"/>
        </c:dLbls>
        <c:smooth val="0"/>
        <c:axId val="466039168"/>
        <c:axId val="466040704"/>
      </c:lineChart>
      <c:catAx>
        <c:axId val="466039168"/>
        <c:scaling>
          <c:orientation val="minMax"/>
        </c:scaling>
        <c:delete val="0"/>
        <c:axPos val="b"/>
        <c:majorGridlines/>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40704"/>
        <c:crosses val="autoZero"/>
        <c:auto val="1"/>
        <c:lblAlgn val="ctr"/>
        <c:lblOffset val="100"/>
        <c:noMultiLvlLbl val="0"/>
      </c:catAx>
      <c:valAx>
        <c:axId val="466040704"/>
        <c:scaling>
          <c:orientation val="minMax"/>
        </c:scaling>
        <c:delete val="0"/>
        <c:axPos val="l"/>
        <c:majorGridlines/>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3916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A$63" fmlaRange="$B$64:$B$69" noThreeD="1" sel="1" val="0"/>
</file>

<file path=xl/ctrlProps/ctrlProp2.xml><?xml version="1.0" encoding="utf-8"?>
<formControlPr xmlns="http://schemas.microsoft.com/office/spreadsheetml/2009/9/main" objectType="Spin" dx="22" fmlaLink="$P$3" max="30000" page="10" val="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76200</xdr:colOff>
          <xdr:row>16</xdr:row>
          <xdr:rowOff>95250</xdr:rowOff>
        </xdr:from>
        <xdr:to>
          <xdr:col>13</xdr:col>
          <xdr:colOff>342900</xdr:colOff>
          <xdr:row>17</xdr:row>
          <xdr:rowOff>123825</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85725</xdr:colOff>
          <xdr:row>18</xdr:row>
          <xdr:rowOff>57150</xdr:rowOff>
        </xdr:from>
        <xdr:to>
          <xdr:col>12</xdr:col>
          <xdr:colOff>381000</xdr:colOff>
          <xdr:row>20</xdr:row>
          <xdr:rowOff>104775</xdr:rowOff>
        </xdr:to>
        <xdr:sp macro="" textlink="">
          <xdr:nvSpPr>
            <xdr:cNvPr id="1026" name="Spinner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66675</xdr:colOff>
      <xdr:row>17</xdr:row>
      <xdr:rowOff>161925</xdr:rowOff>
    </xdr:from>
    <xdr:to>
      <xdr:col>5</xdr:col>
      <xdr:colOff>314325</xdr:colOff>
      <xdr:row>30</xdr:row>
      <xdr:rowOff>161925</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371475</xdr:colOff>
      <xdr:row>17</xdr:row>
      <xdr:rowOff>161925</xdr:rowOff>
    </xdr:from>
    <xdr:to>
      <xdr:col>12</xdr:col>
      <xdr:colOff>9525</xdr:colOff>
      <xdr:row>30</xdr:row>
      <xdr:rowOff>161925</xdr:rowOff>
    </xdr:to>
    <xdr:graphicFrame macro="">
      <xdr:nvGraphicFramePr>
        <xdr:cNvPr id="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N/python/manjesh/zerodhav1/Zerodha_Trade_Terminal_with_OC_v1_PAYOF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_Credential"/>
      <sheetName val="Trade_Terminal"/>
      <sheetName val="OrderBook"/>
      <sheetName val="OpenPosition"/>
      <sheetName val="Option_Chain_Input"/>
      <sheetName val="Option_Chain_Output"/>
      <sheetName val="Instrument"/>
      <sheetName val="Payoff"/>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4">
          <cell r="B34">
            <v>41600</v>
          </cell>
          <cell r="C34">
            <v>41700</v>
          </cell>
          <cell r="D34">
            <v>41800</v>
          </cell>
          <cell r="E34">
            <v>41900</v>
          </cell>
          <cell r="F34">
            <v>42000</v>
          </cell>
          <cell r="G34">
            <v>42137.05</v>
          </cell>
          <cell r="H34">
            <v>42200</v>
          </cell>
          <cell r="I34">
            <v>42300</v>
          </cell>
          <cell r="J34">
            <v>42400</v>
          </cell>
          <cell r="K34">
            <v>42500</v>
          </cell>
          <cell r="L34">
            <v>42600</v>
          </cell>
        </row>
        <row r="45">
          <cell r="B45">
            <v>-41.149999999999864</v>
          </cell>
          <cell r="C45">
            <v>58.850000000000023</v>
          </cell>
          <cell r="D45">
            <v>158.85000000000002</v>
          </cell>
          <cell r="E45">
            <v>58.850000000000023</v>
          </cell>
          <cell r="F45">
            <v>-41.149999999999977</v>
          </cell>
          <cell r="G45">
            <v>95.900000000002933</v>
          </cell>
          <cell r="H45">
            <v>158.85000000000002</v>
          </cell>
          <cell r="I45">
            <v>58.850000000000023</v>
          </cell>
          <cell r="J45">
            <v>-41.149999999999977</v>
          </cell>
          <cell r="K45">
            <v>-41.149999999999977</v>
          </cell>
          <cell r="L45">
            <v>-41.149999999999977</v>
          </cell>
        </row>
        <row r="48">
          <cell r="B48">
            <v>41637.050000000003</v>
          </cell>
          <cell r="C48">
            <v>41737.050000000003</v>
          </cell>
          <cell r="D48">
            <v>41837.050000000003</v>
          </cell>
          <cell r="E48">
            <v>41937.050000000003</v>
          </cell>
          <cell r="F48">
            <v>42037.05</v>
          </cell>
          <cell r="G48">
            <v>42137.05</v>
          </cell>
          <cell r="H48">
            <v>42237.05</v>
          </cell>
          <cell r="I48">
            <v>42337.05</v>
          </cell>
          <cell r="J48">
            <v>42437.05</v>
          </cell>
          <cell r="K48">
            <v>42537.05</v>
          </cell>
          <cell r="L48">
            <v>42637.05</v>
          </cell>
        </row>
        <row r="59">
          <cell r="B59">
            <v>7.6991702989795385</v>
          </cell>
          <cell r="C59">
            <v>7.6744968109138654</v>
          </cell>
          <cell r="D59">
            <v>7.3215267185674975</v>
          </cell>
          <cell r="E59">
            <v>6.6500762209740287</v>
          </cell>
          <cell r="F59">
            <v>5.676071049315965</v>
          </cell>
          <cell r="G59">
            <v>4.4209406432051992</v>
          </cell>
          <cell r="H59">
            <v>2.9108555503077014</v>
          </cell>
          <cell r="I59">
            <v>1.1758448660799559</v>
          </cell>
          <cell r="J59">
            <v>-0.75116601821753193</v>
          </cell>
          <cell r="K59">
            <v>-2.8353559079017714</v>
          </cell>
          <cell r="L59">
            <v>-5.0410060832467707</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3" Type="http://schemas.openxmlformats.org/officeDocument/2006/relationships/hyperlink" Target="https://www.nseindia.com/get-quotes/derivatives?symbol=NIFTY&amp;identifier=OPTIDXNIFTY17-11-2022CE18000.00" TargetMode="External"/><Relationship Id="rId18" Type="http://schemas.openxmlformats.org/officeDocument/2006/relationships/hyperlink" Target="https://www.nseindia.com/get-quotes/derivatives?symbol=NIFTY&amp;identifier=OPTIDXNIFTY17-11-2022CE18000.00" TargetMode="External"/><Relationship Id="rId26" Type="http://schemas.openxmlformats.org/officeDocument/2006/relationships/hyperlink" Target="https://www.nseindia.com/get-quotes/derivatives?symbol=NIFTY&amp;identifier=OPTIDXNIFTY17-11-2022CE18000.00" TargetMode="External"/><Relationship Id="rId21" Type="http://schemas.openxmlformats.org/officeDocument/2006/relationships/hyperlink" Target="https://www.nseindia.com/get-quotes/derivatives?symbol=NIFTY&amp;identifier=OPTIDXNIFTY17-11-2022CE18000.00" TargetMode="External"/><Relationship Id="rId34" Type="http://schemas.openxmlformats.org/officeDocument/2006/relationships/vmlDrawing" Target="../drawings/vmlDrawing1.vml"/><Relationship Id="rId7" Type="http://schemas.openxmlformats.org/officeDocument/2006/relationships/hyperlink" Target="https://www.nseindia.com/get-quotes/derivatives?symbol=NIFTY&amp;identifier=OPTIDXNIFTY17-11-2022CE18000.00" TargetMode="External"/><Relationship Id="rId12" Type="http://schemas.openxmlformats.org/officeDocument/2006/relationships/hyperlink" Target="https://www.nseindia.com/get-quotes/derivatives?symbol=NIFTY&amp;identifier=OPTIDXNIFTY17-11-2022CE18000.00" TargetMode="External"/><Relationship Id="rId17" Type="http://schemas.openxmlformats.org/officeDocument/2006/relationships/hyperlink" Target="https://www.nseindia.com/get-quotes/derivatives?symbol=NIFTY&amp;identifier=OPTIDXNIFTY17-11-2022CE18000.00" TargetMode="External"/><Relationship Id="rId25" Type="http://schemas.openxmlformats.org/officeDocument/2006/relationships/hyperlink" Target="https://www.nseindia.com/get-quotes/derivatives?symbol=NIFTY&amp;identifier=OPTIDXNIFTY17-11-2022CE18000.00" TargetMode="External"/><Relationship Id="rId33" Type="http://schemas.openxmlformats.org/officeDocument/2006/relationships/drawing" Target="../drawings/drawing1.xml"/><Relationship Id="rId2" Type="http://schemas.openxmlformats.org/officeDocument/2006/relationships/hyperlink" Target="https://www.nseindia.com/get-quotes/derivatives?symbol=NIFTY&amp;identifier=OPTIDXNIFTY17-11-2022CE18000.00" TargetMode="External"/><Relationship Id="rId16" Type="http://schemas.openxmlformats.org/officeDocument/2006/relationships/hyperlink" Target="https://www.nseindia.com/get-quotes/derivatives?symbol=NIFTY&amp;identifier=OPTIDXNIFTY17-11-2022CE18000.00" TargetMode="External"/><Relationship Id="rId20" Type="http://schemas.openxmlformats.org/officeDocument/2006/relationships/hyperlink" Target="https://www.nseindia.com/get-quotes/derivatives?symbol=NIFTY&amp;identifier=OPTIDXNIFTY17-11-2022CE18000.00" TargetMode="External"/><Relationship Id="rId29" Type="http://schemas.openxmlformats.org/officeDocument/2006/relationships/hyperlink" Target="https://www.nseindia.com/get-quotes/derivatives?symbol=NIFTY&amp;identifier=OPTIDXNIFTY17-11-2022CE18000.00" TargetMode="External"/><Relationship Id="rId1" Type="http://schemas.openxmlformats.org/officeDocument/2006/relationships/hyperlink" Target="https://www.nseindia.com/get-quotes/derivatives?symbol=NIFTY&amp;identifier=OPTIDXNIFTY17-11-2022CE18000.00" TargetMode="External"/><Relationship Id="rId6" Type="http://schemas.openxmlformats.org/officeDocument/2006/relationships/hyperlink" Target="https://www.nseindia.com/get-quotes/derivatives?symbol=NIFTY&amp;identifier=OPTIDXNIFTY17-11-2022CE18000.00" TargetMode="External"/><Relationship Id="rId11" Type="http://schemas.openxmlformats.org/officeDocument/2006/relationships/hyperlink" Target="https://www.nseindia.com/get-quotes/derivatives?symbol=NIFTY&amp;identifier=OPTIDXNIFTY17-11-2022CE18000.00" TargetMode="External"/><Relationship Id="rId24" Type="http://schemas.openxmlformats.org/officeDocument/2006/relationships/hyperlink" Target="https://www.nseindia.com/get-quotes/derivatives?symbol=NIFTY&amp;identifier=OPTIDXNIFTY17-11-2022CE18000.00" TargetMode="External"/><Relationship Id="rId32" Type="http://schemas.openxmlformats.org/officeDocument/2006/relationships/hyperlink" Target="https://www.nseindia.com/get-quotes/derivatives?symbol=NIFTY&amp;identifier=OPTIDXNIFTY17-11-2022CE18000.00" TargetMode="External"/><Relationship Id="rId37" Type="http://schemas.openxmlformats.org/officeDocument/2006/relationships/comments" Target="../comments1.xml"/><Relationship Id="rId5" Type="http://schemas.openxmlformats.org/officeDocument/2006/relationships/hyperlink" Target="https://www.nseindia.com/get-quotes/derivatives?symbol=NIFTY&amp;identifier=OPTIDXNIFTY17-11-2022CE18000.00" TargetMode="External"/><Relationship Id="rId15" Type="http://schemas.openxmlformats.org/officeDocument/2006/relationships/hyperlink" Target="https://www.nseindia.com/get-quotes/derivatives?symbol=NIFTY&amp;identifier=OPTIDXNIFTY17-11-2022CE18000.00" TargetMode="External"/><Relationship Id="rId23" Type="http://schemas.openxmlformats.org/officeDocument/2006/relationships/hyperlink" Target="https://www.nseindia.com/get-quotes/derivatives?symbol=NIFTY&amp;identifier=OPTIDXNIFTY17-11-2022CE18000.00" TargetMode="External"/><Relationship Id="rId28" Type="http://schemas.openxmlformats.org/officeDocument/2006/relationships/hyperlink" Target="https://www.nseindia.com/get-quotes/derivatives?symbol=NIFTY&amp;identifier=OPTIDXNIFTY17-11-2022CE18000.00" TargetMode="External"/><Relationship Id="rId36" Type="http://schemas.openxmlformats.org/officeDocument/2006/relationships/ctrlProp" Target="../ctrlProps/ctrlProp2.xml"/><Relationship Id="rId10" Type="http://schemas.openxmlformats.org/officeDocument/2006/relationships/hyperlink" Target="https://www.nseindia.com/get-quotes/derivatives?symbol=NIFTY&amp;identifier=OPTIDXNIFTY17-11-2022CE18000.00" TargetMode="External"/><Relationship Id="rId19" Type="http://schemas.openxmlformats.org/officeDocument/2006/relationships/hyperlink" Target="https://www.nseindia.com/get-quotes/derivatives?symbol=NIFTY&amp;identifier=OPTIDXNIFTY17-11-2022CE18000.00" TargetMode="External"/><Relationship Id="rId31" Type="http://schemas.openxmlformats.org/officeDocument/2006/relationships/hyperlink" Target="https://www.nseindia.com/get-quotes/derivatives?symbol=NIFTY&amp;identifier=OPTIDXNIFTY17-11-2022CE18000.00" TargetMode="External"/><Relationship Id="rId4" Type="http://schemas.openxmlformats.org/officeDocument/2006/relationships/hyperlink" Target="https://www.nseindia.com/get-quotes/derivatives?symbol=NIFTY&amp;identifier=OPTIDXNIFTY17-11-2022CE18000.00" TargetMode="External"/><Relationship Id="rId9" Type="http://schemas.openxmlformats.org/officeDocument/2006/relationships/hyperlink" Target="https://www.nseindia.com/get-quotes/derivatives?symbol=NIFTY&amp;identifier=OPTIDXNIFTY17-11-2022CE18000.00" TargetMode="External"/><Relationship Id="rId14" Type="http://schemas.openxmlformats.org/officeDocument/2006/relationships/hyperlink" Target="https://www.nseindia.com/get-quotes/derivatives?symbol=NIFTY&amp;identifier=OPTIDXNIFTY17-11-2022CE18000.00" TargetMode="External"/><Relationship Id="rId22" Type="http://schemas.openxmlformats.org/officeDocument/2006/relationships/hyperlink" Target="https://www.nseindia.com/get-quotes/derivatives?symbol=NIFTY&amp;identifier=OPTIDXNIFTY17-11-2022CE18000.00" TargetMode="External"/><Relationship Id="rId27" Type="http://schemas.openxmlformats.org/officeDocument/2006/relationships/hyperlink" Target="https://www.nseindia.com/get-quotes/derivatives?symbol=NIFTY&amp;identifier=OPTIDXNIFTY17-11-2022CE18000.00" TargetMode="External"/><Relationship Id="rId30" Type="http://schemas.openxmlformats.org/officeDocument/2006/relationships/hyperlink" Target="https://www.nseindia.com/get-quotes/derivatives?symbol=NIFTY&amp;identifier=OPTIDXNIFTY17-11-2022CE18000.00" TargetMode="External"/><Relationship Id="rId35" Type="http://schemas.openxmlformats.org/officeDocument/2006/relationships/ctrlProp" Target="../ctrlProps/ctrlProp1.xml"/><Relationship Id="rId8" Type="http://schemas.openxmlformats.org/officeDocument/2006/relationships/hyperlink" Target="https://www.nseindia.com/get-quotes/derivatives?symbol=NIFTY&amp;identifier=OPTIDXNIFTY17-11-2022CE18000.00" TargetMode="External"/><Relationship Id="rId3" Type="http://schemas.openxmlformats.org/officeDocument/2006/relationships/hyperlink" Target="https://www.nseindia.com/get-quotes/derivatives?symbol=NIFTY&amp;identifier=OPTIDXNIFTY17-11-2022CE18000.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9"/>
  <sheetViews>
    <sheetView workbookViewId="0">
      <selection activeCell="C8" sqref="C8"/>
    </sheetView>
  </sheetViews>
  <sheetFormatPr defaultRowHeight="15"/>
  <cols>
    <col min="1" max="1" width="45.7109375" bestFit="1" customWidth="1"/>
    <col min="2" max="2" width="44.42578125" customWidth="1"/>
    <col min="3" max="3" width="69.140625" customWidth="1"/>
    <col min="5" max="5" width="41.140625" bestFit="1" customWidth="1"/>
  </cols>
  <sheetData>
    <row r="1" spans="1:5" ht="26.25">
      <c r="A1" s="119" t="s">
        <v>240</v>
      </c>
      <c r="B1" s="120"/>
      <c r="C1" s="120"/>
    </row>
    <row r="2" spans="1:5">
      <c r="A2" s="1" t="s">
        <v>0</v>
      </c>
      <c r="B2" s="11" t="s">
        <v>306</v>
      </c>
      <c r="C2" s="123" t="s">
        <v>305</v>
      </c>
    </row>
    <row r="3" spans="1:5">
      <c r="A3" s="1" t="s">
        <v>1</v>
      </c>
      <c r="B3" s="11" t="s">
        <v>307</v>
      </c>
      <c r="C3" s="124"/>
    </row>
    <row r="4" spans="1:5">
      <c r="A4" s="15" t="s">
        <v>239</v>
      </c>
      <c r="B4" s="16" t="s">
        <v>266</v>
      </c>
      <c r="C4" s="124"/>
    </row>
    <row r="5" spans="1:5">
      <c r="A5" s="1" t="s">
        <v>2</v>
      </c>
      <c r="B5" s="14" t="s">
        <v>265</v>
      </c>
      <c r="C5" s="124"/>
      <c r="E5" s="12"/>
    </row>
    <row r="6" spans="1:5">
      <c r="A6" s="1" t="s">
        <v>3</v>
      </c>
      <c r="B6" s="11" t="s">
        <v>308</v>
      </c>
      <c r="C6" s="1"/>
      <c r="E6" s="13"/>
    </row>
    <row r="7" spans="1:5">
      <c r="A7" s="1" t="s">
        <v>4</v>
      </c>
      <c r="B7" s="14" t="s">
        <v>309</v>
      </c>
      <c r="C7" s="1"/>
      <c r="E7" s="14"/>
    </row>
    <row r="8" spans="1:5">
      <c r="A8" s="1" t="s">
        <v>238</v>
      </c>
      <c r="B8" s="15"/>
      <c r="C8" s="3"/>
      <c r="E8" s="15"/>
    </row>
    <row r="9" spans="1:5">
      <c r="A9" s="1" t="s">
        <v>232</v>
      </c>
      <c r="B9" s="8" t="s">
        <v>233</v>
      </c>
      <c r="C9" s="3"/>
    </row>
    <row r="10" spans="1:5">
      <c r="A10" s="2"/>
      <c r="B10" s="3"/>
      <c r="C10" s="3"/>
    </row>
    <row r="11" spans="1:5" ht="77.099999999999994" customHeight="1">
      <c r="A11" s="125" t="s">
        <v>237</v>
      </c>
      <c r="B11" s="125"/>
      <c r="C11" s="125"/>
    </row>
    <row r="12" spans="1:5">
      <c r="A12" s="3"/>
      <c r="B12" s="3"/>
      <c r="C12" s="3"/>
    </row>
    <row r="13" spans="1:5">
      <c r="A13" s="3"/>
      <c r="B13" s="3"/>
      <c r="C13" s="3"/>
    </row>
    <row r="14" spans="1:5">
      <c r="A14" s="121" t="s">
        <v>241</v>
      </c>
      <c r="B14" s="122"/>
      <c r="C14" s="3"/>
    </row>
    <row r="15" spans="1:5">
      <c r="A15" s="1" t="s">
        <v>234</v>
      </c>
      <c r="B15" s="9" t="s">
        <v>242</v>
      </c>
    </row>
    <row r="16" spans="1:5">
      <c r="A16" s="1" t="s">
        <v>235</v>
      </c>
      <c r="B16" s="9" t="s">
        <v>243</v>
      </c>
    </row>
    <row r="18" spans="1:3" ht="36.950000000000003" customHeight="1">
      <c r="A18" s="126" t="s">
        <v>236</v>
      </c>
      <c r="B18" s="126"/>
      <c r="C18" s="126"/>
    </row>
    <row r="19" spans="1:3">
      <c r="B19" s="10" t="s">
        <v>267</v>
      </c>
    </row>
  </sheetData>
  <mergeCells count="5">
    <mergeCell ref="A1:C1"/>
    <mergeCell ref="A14:B14"/>
    <mergeCell ref="C2:C5"/>
    <mergeCell ref="A11:C11"/>
    <mergeCell ref="A18:C18"/>
  </mergeCells>
  <dataValidations count="2">
    <dataValidation type="list" allowBlank="1" showInputMessage="1" showErrorMessage="1" sqref="B4">
      <formula1>"New_Session,Old_Token"</formula1>
    </dataValidation>
    <dataValidation type="list" allowBlank="1" showInputMessage="1" showErrorMessage="1" sqref="B19">
      <formula1>"Reject, I accept the all Terms and Condition"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6"/>
  <sheetViews>
    <sheetView topLeftCell="A2" workbookViewId="0">
      <selection activeCell="A3" sqref="A3"/>
    </sheetView>
  </sheetViews>
  <sheetFormatPr defaultRowHeight="15"/>
  <cols>
    <col min="1" max="1" width="23.7109375" bestFit="1" customWidth="1"/>
    <col min="2" max="2" width="19.140625" customWidth="1"/>
    <col min="3" max="3" width="17.5703125" customWidth="1"/>
    <col min="4" max="4" width="15.42578125" bestFit="1" customWidth="1"/>
    <col min="6" max="6" width="16.7109375" customWidth="1"/>
    <col min="7" max="7" width="18.140625" customWidth="1"/>
    <col min="16" max="16" width="10.140625" bestFit="1" customWidth="1"/>
    <col min="18" max="18" width="14.5703125" customWidth="1"/>
  </cols>
  <sheetData>
    <row r="1" spans="1:25" ht="19.5" customHeight="1">
      <c r="A1" s="19" t="s">
        <v>255</v>
      </c>
      <c r="B1" s="19" t="s">
        <v>256</v>
      </c>
      <c r="C1" s="19" t="s">
        <v>250</v>
      </c>
      <c r="D1" s="20" t="s">
        <v>251</v>
      </c>
      <c r="E1" s="19"/>
      <c r="F1" s="19" t="s">
        <v>254</v>
      </c>
      <c r="G1" s="131" t="s">
        <v>264</v>
      </c>
      <c r="H1" s="132"/>
      <c r="I1" s="132"/>
      <c r="J1" s="133"/>
      <c r="K1" s="127" t="s">
        <v>252</v>
      </c>
      <c r="L1" s="128"/>
      <c r="M1" s="128"/>
      <c r="N1" s="128"/>
      <c r="O1" s="129"/>
      <c r="P1" s="21" t="s">
        <v>253</v>
      </c>
    </row>
    <row r="2" spans="1:25" ht="42" customHeight="1">
      <c r="A2" s="22">
        <v>0</v>
      </c>
      <c r="B2" s="23">
        <v>0</v>
      </c>
      <c r="C2" s="23">
        <v>0</v>
      </c>
      <c r="D2" s="23">
        <v>0</v>
      </c>
      <c r="E2" s="23"/>
      <c r="F2" s="23">
        <v>0</v>
      </c>
      <c r="G2" s="134"/>
      <c r="H2" s="135"/>
      <c r="I2" s="135"/>
      <c r="J2" s="136"/>
      <c r="K2" s="130"/>
      <c r="L2" s="128"/>
      <c r="M2" s="128"/>
      <c r="N2" s="128"/>
      <c r="O2" s="129"/>
      <c r="P2" s="24" t="s">
        <v>259</v>
      </c>
    </row>
    <row r="3" spans="1:25" ht="75">
      <c r="A3" s="17" t="s">
        <v>5</v>
      </c>
      <c r="B3" s="18" t="s">
        <v>6</v>
      </c>
      <c r="C3" s="18" t="s">
        <v>7</v>
      </c>
      <c r="D3" s="18" t="s">
        <v>8</v>
      </c>
      <c r="E3" s="18" t="s">
        <v>9</v>
      </c>
      <c r="F3" s="18" t="s">
        <v>10</v>
      </c>
      <c r="G3" s="18" t="s">
        <v>11</v>
      </c>
      <c r="H3" s="18" t="s">
        <v>12</v>
      </c>
      <c r="I3" s="18" t="s">
        <v>13</v>
      </c>
      <c r="J3" s="18" t="s">
        <v>55</v>
      </c>
      <c r="K3" s="18" t="s">
        <v>14</v>
      </c>
      <c r="L3" s="18" t="s">
        <v>15</v>
      </c>
      <c r="M3" s="17" t="s">
        <v>16</v>
      </c>
      <c r="N3" s="17" t="s">
        <v>244</v>
      </c>
      <c r="O3" s="17" t="s">
        <v>17</v>
      </c>
      <c r="P3" s="17" t="s">
        <v>19</v>
      </c>
      <c r="Q3" s="17" t="s">
        <v>18</v>
      </c>
      <c r="R3" s="18" t="s">
        <v>245</v>
      </c>
      <c r="S3" s="18" t="s">
        <v>246</v>
      </c>
      <c r="T3" s="17" t="s">
        <v>20</v>
      </c>
      <c r="U3" s="17" t="s">
        <v>21</v>
      </c>
      <c r="V3" s="17" t="s">
        <v>247</v>
      </c>
      <c r="W3" s="18" t="s">
        <v>248</v>
      </c>
      <c r="X3" s="18" t="s">
        <v>22</v>
      </c>
      <c r="Y3" s="18" t="s">
        <v>249</v>
      </c>
    </row>
    <row r="4" spans="1:25">
      <c r="A4" s="4" t="s">
        <v>30</v>
      </c>
      <c r="B4" t="s">
        <v>23</v>
      </c>
      <c r="C4" t="s">
        <v>23</v>
      </c>
      <c r="D4" t="s">
        <v>23</v>
      </c>
      <c r="E4">
        <v>8.0500000000000007</v>
      </c>
      <c r="F4" t="s">
        <v>23</v>
      </c>
      <c r="G4" t="s">
        <v>23</v>
      </c>
      <c r="H4" t="s">
        <v>23</v>
      </c>
      <c r="I4" t="s">
        <v>23</v>
      </c>
      <c r="J4" t="s">
        <v>23</v>
      </c>
      <c r="K4">
        <v>8.0500000000000007</v>
      </c>
      <c r="L4">
        <v>0</v>
      </c>
      <c r="M4">
        <v>1</v>
      </c>
    </row>
    <row r="5" spans="1:25">
      <c r="A5" t="s">
        <v>24</v>
      </c>
      <c r="B5" t="s">
        <v>23</v>
      </c>
      <c r="C5" t="s">
        <v>23</v>
      </c>
      <c r="D5" t="s">
        <v>23</v>
      </c>
      <c r="E5">
        <v>61928</v>
      </c>
      <c r="F5" t="s">
        <v>23</v>
      </c>
      <c r="G5" t="s">
        <v>23</v>
      </c>
      <c r="H5" t="s">
        <v>23</v>
      </c>
      <c r="I5" t="s">
        <v>23</v>
      </c>
      <c r="J5">
        <v>1055</v>
      </c>
      <c r="K5">
        <v>61928</v>
      </c>
      <c r="L5">
        <v>0</v>
      </c>
    </row>
    <row r="6" spans="1:25">
      <c r="A6" t="s">
        <v>25</v>
      </c>
      <c r="B6" t="s">
        <v>23</v>
      </c>
      <c r="C6" t="s">
        <v>23</v>
      </c>
      <c r="D6" t="s">
        <v>23</v>
      </c>
      <c r="E6">
        <v>61723</v>
      </c>
      <c r="F6" t="s">
        <v>23</v>
      </c>
      <c r="G6" t="s">
        <v>23</v>
      </c>
      <c r="H6" t="s">
        <v>23</v>
      </c>
      <c r="I6" t="s">
        <v>23</v>
      </c>
      <c r="J6">
        <v>10843</v>
      </c>
      <c r="K6">
        <v>61723</v>
      </c>
      <c r="L6">
        <v>0</v>
      </c>
    </row>
    <row r="7" spans="1:25">
      <c r="A7" s="5" t="s">
        <v>26</v>
      </c>
      <c r="B7">
        <v>18184.400000000001</v>
      </c>
      <c r="C7">
        <v>19045.900000000001</v>
      </c>
      <c r="D7">
        <v>18012.2</v>
      </c>
      <c r="E7">
        <v>18315.849999999999</v>
      </c>
      <c r="F7" t="s">
        <v>23</v>
      </c>
      <c r="G7" t="s">
        <v>23</v>
      </c>
      <c r="H7" t="s">
        <v>23</v>
      </c>
      <c r="I7" t="s">
        <v>23</v>
      </c>
      <c r="J7" t="s">
        <v>23</v>
      </c>
      <c r="K7">
        <v>18315.849999999999</v>
      </c>
      <c r="L7">
        <v>0</v>
      </c>
    </row>
    <row r="8" spans="1:25">
      <c r="A8" s="5" t="s">
        <v>27</v>
      </c>
      <c r="B8">
        <v>13.33</v>
      </c>
      <c r="C8">
        <v>13.67</v>
      </c>
      <c r="D8">
        <v>4.97</v>
      </c>
      <c r="E8">
        <v>12.77</v>
      </c>
      <c r="F8" t="s">
        <v>23</v>
      </c>
      <c r="G8" t="s">
        <v>23</v>
      </c>
      <c r="H8" t="s">
        <v>23</v>
      </c>
      <c r="I8" t="s">
        <v>23</v>
      </c>
      <c r="J8" t="s">
        <v>23</v>
      </c>
      <c r="K8">
        <v>12.77</v>
      </c>
      <c r="L8">
        <v>0</v>
      </c>
    </row>
    <row r="9" spans="1:25">
      <c r="A9" s="5" t="s">
        <v>28</v>
      </c>
      <c r="B9">
        <v>41644.15</v>
      </c>
      <c r="C9">
        <v>45446.05</v>
      </c>
      <c r="D9">
        <v>41163.5</v>
      </c>
      <c r="E9">
        <v>42827.3</v>
      </c>
      <c r="F9" t="s">
        <v>23</v>
      </c>
      <c r="G9" t="s">
        <v>23</v>
      </c>
      <c r="H9" t="s">
        <v>23</v>
      </c>
      <c r="I9" t="s">
        <v>23</v>
      </c>
      <c r="J9" t="s">
        <v>23</v>
      </c>
      <c r="K9">
        <v>42827.3</v>
      </c>
      <c r="L9">
        <v>0</v>
      </c>
    </row>
    <row r="10" spans="1:25">
      <c r="A10" s="5" t="s">
        <v>29</v>
      </c>
      <c r="B10">
        <v>18750.25</v>
      </c>
      <c r="C10">
        <v>20209.75</v>
      </c>
      <c r="D10">
        <v>18421.8</v>
      </c>
      <c r="E10">
        <v>19132.099999999999</v>
      </c>
      <c r="F10" t="s">
        <v>23</v>
      </c>
      <c r="G10" t="s">
        <v>23</v>
      </c>
      <c r="H10" t="s">
        <v>23</v>
      </c>
      <c r="I10" t="s">
        <v>23</v>
      </c>
      <c r="J10" t="s">
        <v>23</v>
      </c>
      <c r="K10">
        <v>19132.099999999999</v>
      </c>
      <c r="L10">
        <v>0</v>
      </c>
    </row>
    <row r="11" spans="1:25">
      <c r="A11" s="5" t="s">
        <v>30</v>
      </c>
      <c r="B11" t="s">
        <v>23</v>
      </c>
      <c r="C11" t="s">
        <v>23</v>
      </c>
      <c r="D11" t="s">
        <v>23</v>
      </c>
      <c r="E11">
        <v>8.0500000000000007</v>
      </c>
      <c r="F11" t="s">
        <v>23</v>
      </c>
      <c r="G11" t="s">
        <v>23</v>
      </c>
      <c r="H11" t="s">
        <v>23</v>
      </c>
      <c r="I11" t="s">
        <v>23</v>
      </c>
      <c r="J11" t="s">
        <v>23</v>
      </c>
      <c r="K11">
        <v>8.0500000000000007</v>
      </c>
      <c r="L11">
        <v>0</v>
      </c>
    </row>
    <row r="12" spans="1:25">
      <c r="A12" s="5" t="s">
        <v>31</v>
      </c>
      <c r="B12" t="s">
        <v>23</v>
      </c>
      <c r="C12" t="s">
        <v>23</v>
      </c>
      <c r="D12" t="s">
        <v>23</v>
      </c>
      <c r="E12">
        <v>2617.6</v>
      </c>
      <c r="F12" t="s">
        <v>23</v>
      </c>
      <c r="G12" t="s">
        <v>23</v>
      </c>
      <c r="H12" t="s">
        <v>23</v>
      </c>
      <c r="I12" t="s">
        <v>23</v>
      </c>
      <c r="J12" t="s">
        <v>23</v>
      </c>
      <c r="K12">
        <v>2617.6</v>
      </c>
      <c r="L12">
        <v>0</v>
      </c>
    </row>
    <row r="13" spans="1:25">
      <c r="A13" s="5" t="s">
        <v>32</v>
      </c>
      <c r="B13" t="s">
        <v>23</v>
      </c>
      <c r="C13" t="s">
        <v>23</v>
      </c>
      <c r="D13" t="s">
        <v>23</v>
      </c>
      <c r="E13">
        <v>1128.2</v>
      </c>
      <c r="F13" t="s">
        <v>23</v>
      </c>
      <c r="G13" t="s">
        <v>23</v>
      </c>
      <c r="H13" t="s">
        <v>23</v>
      </c>
      <c r="I13" t="s">
        <v>23</v>
      </c>
      <c r="J13" t="s">
        <v>23</v>
      </c>
      <c r="K13">
        <v>1128.2</v>
      </c>
      <c r="L13">
        <v>0</v>
      </c>
    </row>
    <row r="14" spans="1:25">
      <c r="A14" s="5" t="s">
        <v>258</v>
      </c>
    </row>
    <row r="15" spans="1:25">
      <c r="A15" s="5" t="s">
        <v>257</v>
      </c>
    </row>
    <row r="16" spans="1:25">
      <c r="A16" s="5" t="s">
        <v>304</v>
      </c>
      <c r="B16" t="s">
        <v>23</v>
      </c>
      <c r="C16" t="s">
        <v>23</v>
      </c>
      <c r="D16" t="s">
        <v>23</v>
      </c>
      <c r="E16">
        <v>53.6</v>
      </c>
      <c r="F16" t="s">
        <v>23</v>
      </c>
      <c r="G16" t="s">
        <v>23</v>
      </c>
      <c r="H16" t="s">
        <v>23</v>
      </c>
      <c r="I16" t="s">
        <v>23</v>
      </c>
      <c r="J16" t="s">
        <v>23</v>
      </c>
      <c r="K16">
        <v>53.6</v>
      </c>
      <c r="L16">
        <v>0</v>
      </c>
    </row>
  </sheetData>
  <mergeCells count="2">
    <mergeCell ref="K1:O2"/>
    <mergeCell ref="G1:J2"/>
  </mergeCells>
  <dataValidations count="4">
    <dataValidation type="list" allowBlank="1" showInputMessage="1" showErrorMessage="1" sqref="P2">
      <formula1>"NRML,MIS"</formula1>
    </dataValidation>
    <dataValidation type="list" allowBlank="1" showInputMessage="1" showErrorMessage="1" sqref="O4:O8">
      <formula1>"TRUE,LIMIT,FALSE"</formula1>
    </dataValidation>
    <dataValidation type="list" allowBlank="1" showInputMessage="1" showErrorMessage="1" sqref="N4:N7">
      <formula1>"BUY,SELL"</formula1>
    </dataValidation>
    <dataValidation type="list" allowBlank="1" showInputMessage="1" showErrorMessage="1" sqref="Q4:Q7">
      <formula1>"TRUE,FALSE"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E20" sqref="E20"/>
    </sheetView>
  </sheetViews>
  <sheetFormatPr defaultRowHeight="15"/>
  <cols>
    <col min="1" max="1" width="3.85546875" bestFit="1" customWidth="1"/>
    <col min="2" max="2" width="11.85546875" bestFit="1" customWidth="1"/>
    <col min="3" max="3" width="7.85546875" bestFit="1" customWidth="1"/>
    <col min="4" max="4" width="4.5703125" bestFit="1" customWidth="1"/>
    <col min="5" max="5" width="24.140625" bestFit="1" customWidth="1"/>
    <col min="6" max="6" width="3.42578125" bestFit="1" customWidth="1"/>
    <col min="7" max="7" width="10.85546875" bestFit="1" customWidth="1"/>
    <col min="8" max="8" width="7.85546875" bestFit="1" customWidth="1"/>
    <col min="9" max="9" width="6.7109375" bestFit="1" customWidth="1"/>
    <col min="10" max="10" width="4.28515625" bestFit="1" customWidth="1"/>
    <col min="11" max="11" width="6.85546875" bestFit="1" customWidth="1"/>
    <col min="12" max="12" width="2.85546875" bestFit="1" customWidth="1"/>
    <col min="13" max="13" width="4.85546875" bestFit="1" customWidth="1"/>
    <col min="14" max="15" width="5.85546875" bestFit="1" customWidth="1"/>
    <col min="16" max="16" width="6.28515625" bestFit="1" customWidth="1"/>
    <col min="17" max="17" width="3.7109375" bestFit="1" customWidth="1"/>
    <col min="18" max="19" width="16.85546875" bestFit="1" customWidth="1"/>
    <col min="20" max="20" width="8.28515625" bestFit="1" customWidth="1"/>
    <col min="21" max="22" width="17.85546875" bestFit="1" customWidth="1"/>
    <col min="23" max="23" width="13.28515625" bestFit="1" customWidth="1"/>
    <col min="24" max="24" width="11.85546875" bestFit="1" customWidth="1"/>
    <col min="25" max="25" width="4.140625" bestFit="1" customWidth="1"/>
    <col min="26" max="26" width="27.140625" bestFit="1" customWidth="1"/>
    <col min="27" max="27" width="5.85546875" bestFit="1" customWidth="1"/>
    <col min="28" max="28" width="6.42578125" bestFit="1" customWidth="1"/>
    <col min="29" max="29" width="8.5703125" bestFit="1" customWidth="1"/>
    <col min="30" max="30" width="4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
  <sheetViews>
    <sheetView workbookViewId="0">
      <selection activeCell="A14" sqref="A14"/>
    </sheetView>
  </sheetViews>
  <sheetFormatPr defaultRowHeight="15"/>
  <cols>
    <col min="1" max="1" width="14.140625" bestFit="1" customWidth="1"/>
    <col min="4" max="4" width="11.42578125" bestFit="1" customWidth="1"/>
    <col min="5" max="5" width="24.140625" bestFit="1" customWidth="1"/>
  </cols>
  <sheetData>
    <row r="1" spans="1:20" ht="18.75">
      <c r="A1" s="25" t="s">
        <v>260</v>
      </c>
      <c r="B1" s="26"/>
      <c r="C1" s="26"/>
      <c r="D1" s="26" t="s">
        <v>261</v>
      </c>
      <c r="E1" s="27" t="s">
        <v>262</v>
      </c>
      <c r="F1" s="137" t="s">
        <v>263</v>
      </c>
      <c r="G1" s="137"/>
      <c r="H1" s="137"/>
      <c r="I1" s="137"/>
      <c r="J1" s="137"/>
      <c r="K1" s="137"/>
      <c r="L1" s="137"/>
      <c r="M1" s="137"/>
      <c r="N1" s="137"/>
      <c r="O1" s="137"/>
      <c r="P1" s="137"/>
      <c r="Q1" s="137"/>
      <c r="R1" s="137"/>
      <c r="S1" s="137"/>
      <c r="T1" s="137"/>
    </row>
    <row r="2" spans="1:20" ht="19.5">
      <c r="A2" s="28">
        <v>0</v>
      </c>
      <c r="B2" s="29"/>
      <c r="C2" s="29"/>
      <c r="D2" s="29" t="b">
        <v>0</v>
      </c>
      <c r="E2" s="29">
        <v>0</v>
      </c>
      <c r="F2" s="137"/>
      <c r="G2" s="137"/>
      <c r="H2" s="137"/>
      <c r="I2" s="137"/>
      <c r="J2" s="137"/>
      <c r="K2" s="137"/>
      <c r="L2" s="137"/>
      <c r="M2" s="137"/>
      <c r="N2" s="137"/>
      <c r="O2" s="137"/>
      <c r="P2" s="137"/>
      <c r="Q2" s="137"/>
      <c r="R2" s="137"/>
      <c r="S2" s="137"/>
      <c r="T2" s="137"/>
    </row>
  </sheetData>
  <mergeCells count="1">
    <mergeCell ref="F1:T2"/>
  </mergeCells>
  <dataValidations count="3">
    <dataValidation type="list" allowBlank="1" showInputMessage="1" showErrorMessage="1" sqref="C2">
      <formula1>"NSE,NFO,CDS,MCX,ALL"</formula1>
    </dataValidation>
    <dataValidation type="list" allowBlank="1" showInputMessage="1" showErrorMessage="1" sqref="B2 D2">
      <formula1>"False,Execute"</formula1>
    </dataValidation>
    <dataValidation type="list" allowBlank="1" showInputMessage="1" showErrorMessage="1" sqref="E2">
      <formula1>"0,1"</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98"/>
  <sheetViews>
    <sheetView workbookViewId="0">
      <selection activeCell="E3" sqref="E3"/>
    </sheetView>
  </sheetViews>
  <sheetFormatPr defaultColWidth="27.5703125" defaultRowHeight="15"/>
  <cols>
    <col min="1" max="1" width="13.5703125" bestFit="1" customWidth="1"/>
    <col min="2" max="2" width="14" bestFit="1" customWidth="1"/>
    <col min="3" max="3" width="6.5703125" bestFit="1" customWidth="1"/>
    <col min="4" max="4" width="15" bestFit="1" customWidth="1"/>
    <col min="5" max="5" width="17.28515625" customWidth="1"/>
    <col min="6" max="6" width="26.7109375" customWidth="1"/>
    <col min="7" max="7" width="9.85546875" customWidth="1"/>
    <col min="8" max="8" width="27.85546875" bestFit="1" customWidth="1"/>
    <col min="9" max="9" width="8.85546875" bestFit="1" customWidth="1"/>
  </cols>
  <sheetData>
    <row r="1" spans="1:9">
      <c r="A1" s="6" t="s">
        <v>33</v>
      </c>
      <c r="B1" s="6" t="s">
        <v>279</v>
      </c>
      <c r="C1" s="6" t="s">
        <v>34</v>
      </c>
      <c r="D1" s="138" t="s">
        <v>268</v>
      </c>
      <c r="E1" s="138"/>
      <c r="H1" s="138" t="s">
        <v>273</v>
      </c>
      <c r="I1" s="138"/>
    </row>
    <row r="2" spans="1:9">
      <c r="A2" t="s">
        <v>35</v>
      </c>
      <c r="B2" s="7">
        <v>44924</v>
      </c>
      <c r="C2">
        <v>1600</v>
      </c>
      <c r="D2" s="32" t="s">
        <v>269</v>
      </c>
      <c r="E2" s="30" t="s">
        <v>37</v>
      </c>
      <c r="F2" s="33"/>
      <c r="H2" t="s">
        <v>274</v>
      </c>
      <c r="I2">
        <v>340.3</v>
      </c>
    </row>
    <row r="3" spans="1:9">
      <c r="A3" t="s">
        <v>36</v>
      </c>
      <c r="B3" s="7">
        <v>44951</v>
      </c>
      <c r="C3">
        <v>1600</v>
      </c>
      <c r="D3" s="32" t="s">
        <v>270</v>
      </c>
      <c r="E3" s="31">
        <f>B2</f>
        <v>44924</v>
      </c>
      <c r="F3" s="33"/>
      <c r="H3" t="s">
        <v>275</v>
      </c>
      <c r="I3">
        <v>17676</v>
      </c>
    </row>
    <row r="4" spans="1:9">
      <c r="A4" t="s">
        <v>38</v>
      </c>
      <c r="B4" s="7">
        <v>44980</v>
      </c>
      <c r="C4">
        <v>1600</v>
      </c>
      <c r="D4" s="32" t="s">
        <v>271</v>
      </c>
      <c r="E4" s="30">
        <v>5</v>
      </c>
      <c r="F4" s="33"/>
      <c r="H4" t="s">
        <v>276</v>
      </c>
      <c r="I4">
        <v>10735</v>
      </c>
    </row>
    <row r="5" spans="1:9">
      <c r="A5" t="s">
        <v>39</v>
      </c>
      <c r="B5" s="7"/>
      <c r="D5" s="32" t="s">
        <v>272</v>
      </c>
      <c r="E5" s="30">
        <v>5</v>
      </c>
      <c r="F5" s="33"/>
      <c r="H5" t="s">
        <v>277</v>
      </c>
      <c r="I5">
        <v>0</v>
      </c>
    </row>
    <row r="6" spans="1:9">
      <c r="A6" t="s">
        <v>40</v>
      </c>
      <c r="B6" s="7"/>
      <c r="H6" t="s">
        <v>278</v>
      </c>
      <c r="I6">
        <v>0</v>
      </c>
    </row>
    <row r="7" spans="1:9">
      <c r="A7" t="s">
        <v>41</v>
      </c>
      <c r="B7" s="7"/>
      <c r="D7" s="33"/>
      <c r="E7" s="33"/>
    </row>
    <row r="8" spans="1:9">
      <c r="A8" t="s">
        <v>42</v>
      </c>
      <c r="B8" s="7"/>
      <c r="H8" t="s">
        <v>294</v>
      </c>
      <c r="I8">
        <v>3368</v>
      </c>
    </row>
    <row r="9" spans="1:9">
      <c r="A9" t="s">
        <v>43</v>
      </c>
      <c r="B9" s="7"/>
      <c r="H9" t="s">
        <v>295</v>
      </c>
      <c r="I9">
        <v>1922</v>
      </c>
    </row>
    <row r="10" spans="1:9">
      <c r="A10" t="s">
        <v>44</v>
      </c>
      <c r="B10" s="7"/>
      <c r="H10" t="s">
        <v>296</v>
      </c>
      <c r="I10">
        <v>350</v>
      </c>
    </row>
    <row r="11" spans="1:9">
      <c r="A11" t="s">
        <v>45</v>
      </c>
      <c r="B11" s="7"/>
      <c r="H11" t="s">
        <v>297</v>
      </c>
      <c r="I11">
        <v>340</v>
      </c>
    </row>
    <row r="12" spans="1:9">
      <c r="A12" t="s">
        <v>46</v>
      </c>
      <c r="B12" s="7"/>
      <c r="H12" t="s">
        <v>292</v>
      </c>
      <c r="I12">
        <v>4.6500000000000004</v>
      </c>
    </row>
    <row r="13" spans="1:9">
      <c r="A13" t="s">
        <v>47</v>
      </c>
      <c r="B13" s="7"/>
      <c r="H13" t="s">
        <v>293</v>
      </c>
      <c r="I13">
        <v>5.5</v>
      </c>
    </row>
    <row r="14" spans="1:9">
      <c r="A14" t="s">
        <v>48</v>
      </c>
      <c r="B14" s="7"/>
    </row>
    <row r="15" spans="1:9">
      <c r="A15" t="s">
        <v>49</v>
      </c>
      <c r="B15" s="7"/>
      <c r="H15" t="s">
        <v>298</v>
      </c>
      <c r="I15">
        <v>0</v>
      </c>
    </row>
    <row r="16" spans="1:9">
      <c r="A16" t="s">
        <v>50</v>
      </c>
      <c r="B16" s="7"/>
      <c r="H16" t="s">
        <v>299</v>
      </c>
      <c r="I16">
        <v>0</v>
      </c>
    </row>
    <row r="17" spans="1:9">
      <c r="A17" t="s">
        <v>51</v>
      </c>
      <c r="B17" s="7"/>
      <c r="H17" t="s">
        <v>300</v>
      </c>
      <c r="I17">
        <v>0</v>
      </c>
    </row>
    <row r="18" spans="1:9">
      <c r="A18" t="s">
        <v>56</v>
      </c>
      <c r="B18" s="7"/>
      <c r="H18" t="s">
        <v>301</v>
      </c>
      <c r="I18">
        <v>0</v>
      </c>
    </row>
    <row r="19" spans="1:9">
      <c r="A19" t="s">
        <v>57</v>
      </c>
      <c r="B19" s="7"/>
      <c r="H19" t="s">
        <v>302</v>
      </c>
      <c r="I19">
        <v>0</v>
      </c>
    </row>
    <row r="20" spans="1:9">
      <c r="A20" t="s">
        <v>58</v>
      </c>
      <c r="B20" s="7"/>
      <c r="H20" t="s">
        <v>303</v>
      </c>
      <c r="I20">
        <v>0</v>
      </c>
    </row>
    <row r="21" spans="1:9">
      <c r="A21" t="s">
        <v>59</v>
      </c>
      <c r="B21" s="7"/>
    </row>
    <row r="22" spans="1:9">
      <c r="A22" t="s">
        <v>60</v>
      </c>
      <c r="B22" s="7"/>
    </row>
    <row r="23" spans="1:9">
      <c r="A23" t="s">
        <v>61</v>
      </c>
      <c r="B23" s="34"/>
    </row>
    <row r="24" spans="1:9">
      <c r="A24" t="s">
        <v>62</v>
      </c>
    </row>
    <row r="25" spans="1:9">
      <c r="A25" t="s">
        <v>63</v>
      </c>
    </row>
    <row r="26" spans="1:9">
      <c r="A26" t="s">
        <v>64</v>
      </c>
    </row>
    <row r="27" spans="1:9">
      <c r="A27" t="s">
        <v>65</v>
      </c>
    </row>
    <row r="28" spans="1:9">
      <c r="A28" t="s">
        <v>66</v>
      </c>
    </row>
    <row r="29" spans="1:9">
      <c r="A29" t="s">
        <v>53</v>
      </c>
    </row>
    <row r="30" spans="1:9">
      <c r="A30" t="s">
        <v>67</v>
      </c>
    </row>
    <row r="31" spans="1:9">
      <c r="A31" t="s">
        <v>68</v>
      </c>
    </row>
    <row r="32" spans="1:9">
      <c r="A32" t="s">
        <v>69</v>
      </c>
    </row>
    <row r="33" spans="1:1">
      <c r="A33" t="s">
        <v>70</v>
      </c>
    </row>
    <row r="34" spans="1:1">
      <c r="A34" t="s">
        <v>71</v>
      </c>
    </row>
    <row r="35" spans="1:1">
      <c r="A35" t="s">
        <v>72</v>
      </c>
    </row>
    <row r="36" spans="1:1">
      <c r="A36" t="s">
        <v>73</v>
      </c>
    </row>
    <row r="37" spans="1:1">
      <c r="A37" t="s">
        <v>74</v>
      </c>
    </row>
    <row r="38" spans="1:1">
      <c r="A38" t="s">
        <v>75</v>
      </c>
    </row>
    <row r="39" spans="1:1">
      <c r="A39" t="s">
        <v>76</v>
      </c>
    </row>
    <row r="40" spans="1:1">
      <c r="A40" t="s">
        <v>77</v>
      </c>
    </row>
    <row r="41" spans="1:1">
      <c r="A41" t="s">
        <v>78</v>
      </c>
    </row>
    <row r="42" spans="1:1">
      <c r="A42" t="s">
        <v>79</v>
      </c>
    </row>
    <row r="43" spans="1:1">
      <c r="A43" t="s">
        <v>80</v>
      </c>
    </row>
    <row r="44" spans="1:1">
      <c r="A44" t="s">
        <v>81</v>
      </c>
    </row>
    <row r="45" spans="1:1">
      <c r="A45" t="s">
        <v>82</v>
      </c>
    </row>
    <row r="46" spans="1:1">
      <c r="A46" t="s">
        <v>83</v>
      </c>
    </row>
    <row r="47" spans="1:1">
      <c r="A47" t="s">
        <v>84</v>
      </c>
    </row>
    <row r="48" spans="1:1">
      <c r="A48" t="s">
        <v>85</v>
      </c>
    </row>
    <row r="49" spans="1:1">
      <c r="A49" t="s">
        <v>86</v>
      </c>
    </row>
    <row r="50" spans="1:1">
      <c r="A50" t="s">
        <v>87</v>
      </c>
    </row>
    <row r="51" spans="1:1">
      <c r="A51" t="s">
        <v>88</v>
      </c>
    </row>
    <row r="52" spans="1:1">
      <c r="A52" t="s">
        <v>89</v>
      </c>
    </row>
    <row r="53" spans="1:1">
      <c r="A53" t="s">
        <v>90</v>
      </c>
    </row>
    <row r="54" spans="1:1">
      <c r="A54" t="s">
        <v>91</v>
      </c>
    </row>
    <row r="55" spans="1:1">
      <c r="A55" t="s">
        <v>92</v>
      </c>
    </row>
    <row r="56" spans="1:1">
      <c r="A56" t="s">
        <v>93</v>
      </c>
    </row>
    <row r="57" spans="1:1">
      <c r="A57" t="s">
        <v>94</v>
      </c>
    </row>
    <row r="58" spans="1:1">
      <c r="A58" t="s">
        <v>95</v>
      </c>
    </row>
    <row r="59" spans="1:1">
      <c r="A59" t="s">
        <v>96</v>
      </c>
    </row>
    <row r="60" spans="1:1">
      <c r="A60" t="s">
        <v>97</v>
      </c>
    </row>
    <row r="61" spans="1:1">
      <c r="A61" t="s">
        <v>98</v>
      </c>
    </row>
    <row r="62" spans="1:1">
      <c r="A62" t="s">
        <v>99</v>
      </c>
    </row>
    <row r="63" spans="1:1">
      <c r="A63" t="s">
        <v>100</v>
      </c>
    </row>
    <row r="64" spans="1:1">
      <c r="A64" t="s">
        <v>101</v>
      </c>
    </row>
    <row r="65" spans="1:1">
      <c r="A65" t="s">
        <v>102</v>
      </c>
    </row>
    <row r="66" spans="1:1">
      <c r="A66" t="s">
        <v>54</v>
      </c>
    </row>
    <row r="67" spans="1:1">
      <c r="A67" t="s">
        <v>103</v>
      </c>
    </row>
    <row r="68" spans="1:1">
      <c r="A68" t="s">
        <v>104</v>
      </c>
    </row>
    <row r="69" spans="1:1">
      <c r="A69" t="s">
        <v>105</v>
      </c>
    </row>
    <row r="70" spans="1:1">
      <c r="A70" t="s">
        <v>106</v>
      </c>
    </row>
    <row r="71" spans="1:1">
      <c r="A71" t="s">
        <v>107</v>
      </c>
    </row>
    <row r="72" spans="1:1">
      <c r="A72" t="s">
        <v>108</v>
      </c>
    </row>
    <row r="73" spans="1:1">
      <c r="A73" t="s">
        <v>109</v>
      </c>
    </row>
    <row r="74" spans="1:1">
      <c r="A74" t="s">
        <v>110</v>
      </c>
    </row>
    <row r="75" spans="1:1">
      <c r="A75" t="s">
        <v>111</v>
      </c>
    </row>
    <row r="76" spans="1:1">
      <c r="A76" t="s">
        <v>112</v>
      </c>
    </row>
    <row r="77" spans="1:1">
      <c r="A77" t="s">
        <v>113</v>
      </c>
    </row>
    <row r="78" spans="1:1">
      <c r="A78" t="s">
        <v>114</v>
      </c>
    </row>
    <row r="79" spans="1:1">
      <c r="A79" t="s">
        <v>115</v>
      </c>
    </row>
    <row r="80" spans="1:1">
      <c r="A80" t="s">
        <v>116</v>
      </c>
    </row>
    <row r="81" spans="1:1">
      <c r="A81" t="s">
        <v>117</v>
      </c>
    </row>
    <row r="82" spans="1:1">
      <c r="A82" t="s">
        <v>118</v>
      </c>
    </row>
    <row r="83" spans="1:1">
      <c r="A83" t="s">
        <v>119</v>
      </c>
    </row>
    <row r="84" spans="1:1">
      <c r="A84" t="s">
        <v>120</v>
      </c>
    </row>
    <row r="85" spans="1:1">
      <c r="A85" t="s">
        <v>121</v>
      </c>
    </row>
    <row r="86" spans="1:1">
      <c r="A86" t="s">
        <v>122</v>
      </c>
    </row>
    <row r="87" spans="1:1">
      <c r="A87" t="s">
        <v>123</v>
      </c>
    </row>
    <row r="88" spans="1:1">
      <c r="A88" t="s">
        <v>124</v>
      </c>
    </row>
    <row r="89" spans="1:1">
      <c r="A89" t="s">
        <v>125</v>
      </c>
    </row>
    <row r="90" spans="1:1">
      <c r="A90" t="s">
        <v>126</v>
      </c>
    </row>
    <row r="91" spans="1:1">
      <c r="A91" t="s">
        <v>127</v>
      </c>
    </row>
    <row r="92" spans="1:1">
      <c r="A92" t="s">
        <v>128</v>
      </c>
    </row>
    <row r="93" spans="1:1">
      <c r="A93" t="s">
        <v>129</v>
      </c>
    </row>
    <row r="94" spans="1:1">
      <c r="A94" t="s">
        <v>130</v>
      </c>
    </row>
    <row r="95" spans="1:1">
      <c r="A95" t="s">
        <v>131</v>
      </c>
    </row>
    <row r="96" spans="1:1">
      <c r="A96" t="s">
        <v>132</v>
      </c>
    </row>
    <row r="97" spans="1:1">
      <c r="A97" t="s">
        <v>133</v>
      </c>
    </row>
    <row r="98" spans="1:1">
      <c r="A98" t="s">
        <v>134</v>
      </c>
    </row>
    <row r="99" spans="1:1">
      <c r="A99" t="s">
        <v>135</v>
      </c>
    </row>
    <row r="100" spans="1:1">
      <c r="A100" t="s">
        <v>136</v>
      </c>
    </row>
    <row r="101" spans="1:1">
      <c r="A101" t="s">
        <v>137</v>
      </c>
    </row>
    <row r="102" spans="1:1">
      <c r="A102" t="s">
        <v>138</v>
      </c>
    </row>
    <row r="103" spans="1:1">
      <c r="A103" t="s">
        <v>139</v>
      </c>
    </row>
    <row r="104" spans="1:1">
      <c r="A104" t="s">
        <v>140</v>
      </c>
    </row>
    <row r="105" spans="1:1">
      <c r="A105" t="s">
        <v>141</v>
      </c>
    </row>
    <row r="106" spans="1:1">
      <c r="A106" t="s">
        <v>142</v>
      </c>
    </row>
    <row r="107" spans="1:1">
      <c r="A107" t="s">
        <v>143</v>
      </c>
    </row>
    <row r="108" spans="1:1">
      <c r="A108" t="s">
        <v>144</v>
      </c>
    </row>
    <row r="109" spans="1:1">
      <c r="A109" t="s">
        <v>145</v>
      </c>
    </row>
    <row r="110" spans="1:1">
      <c r="A110" t="s">
        <v>37</v>
      </c>
    </row>
    <row r="111" spans="1:1">
      <c r="A111" t="s">
        <v>146</v>
      </c>
    </row>
    <row r="112" spans="1:1">
      <c r="A112" t="s">
        <v>147</v>
      </c>
    </row>
    <row r="113" spans="1:1">
      <c r="A113" t="s">
        <v>148</v>
      </c>
    </row>
    <row r="114" spans="1:1">
      <c r="A114" t="s">
        <v>149</v>
      </c>
    </row>
    <row r="115" spans="1:1">
      <c r="A115" t="s">
        <v>150</v>
      </c>
    </row>
    <row r="116" spans="1:1">
      <c r="A116" t="s">
        <v>151</v>
      </c>
    </row>
    <row r="117" spans="1:1">
      <c r="A117" t="s">
        <v>152</v>
      </c>
    </row>
    <row r="118" spans="1:1">
      <c r="A118" t="s">
        <v>153</v>
      </c>
    </row>
    <row r="119" spans="1:1">
      <c r="A119" t="s">
        <v>154</v>
      </c>
    </row>
    <row r="120" spans="1:1">
      <c r="A120" t="s">
        <v>155</v>
      </c>
    </row>
    <row r="121" spans="1:1">
      <c r="A121" t="s">
        <v>156</v>
      </c>
    </row>
    <row r="122" spans="1:1">
      <c r="A122" t="s">
        <v>157</v>
      </c>
    </row>
    <row r="123" spans="1:1">
      <c r="A123" t="s">
        <v>158</v>
      </c>
    </row>
    <row r="124" spans="1:1">
      <c r="A124" t="s">
        <v>159</v>
      </c>
    </row>
    <row r="125" spans="1:1">
      <c r="A125" t="s">
        <v>160</v>
      </c>
    </row>
    <row r="126" spans="1:1">
      <c r="A126" t="s">
        <v>161</v>
      </c>
    </row>
    <row r="127" spans="1:1">
      <c r="A127" t="s">
        <v>162</v>
      </c>
    </row>
    <row r="128" spans="1:1">
      <c r="A128" t="s">
        <v>163</v>
      </c>
    </row>
    <row r="129" spans="1:1">
      <c r="A129" t="s">
        <v>164</v>
      </c>
    </row>
    <row r="130" spans="1:1">
      <c r="A130" t="s">
        <v>165</v>
      </c>
    </row>
    <row r="131" spans="1:1">
      <c r="A131" t="s">
        <v>166</v>
      </c>
    </row>
    <row r="132" spans="1:1">
      <c r="A132" t="s">
        <v>167</v>
      </c>
    </row>
    <row r="133" spans="1:1">
      <c r="A133" t="s">
        <v>168</v>
      </c>
    </row>
    <row r="134" spans="1:1">
      <c r="A134" t="s">
        <v>169</v>
      </c>
    </row>
    <row r="135" spans="1:1">
      <c r="A135" t="s">
        <v>170</v>
      </c>
    </row>
    <row r="136" spans="1:1">
      <c r="A136" t="s">
        <v>171</v>
      </c>
    </row>
    <row r="137" spans="1:1">
      <c r="A137" t="s">
        <v>172</v>
      </c>
    </row>
    <row r="138" spans="1:1">
      <c r="A138" t="s">
        <v>173</v>
      </c>
    </row>
    <row r="139" spans="1:1">
      <c r="A139" t="s">
        <v>174</v>
      </c>
    </row>
    <row r="140" spans="1:1">
      <c r="A140" t="s">
        <v>175</v>
      </c>
    </row>
    <row r="141" spans="1:1">
      <c r="A141" t="s">
        <v>176</v>
      </c>
    </row>
    <row r="142" spans="1:1">
      <c r="A142" t="s">
        <v>177</v>
      </c>
    </row>
    <row r="143" spans="1:1">
      <c r="A143" t="s">
        <v>52</v>
      </c>
    </row>
    <row r="144" spans="1:1">
      <c r="A144" t="s">
        <v>178</v>
      </c>
    </row>
    <row r="145" spans="1:1">
      <c r="A145" t="s">
        <v>179</v>
      </c>
    </row>
    <row r="146" spans="1:1">
      <c r="A146" t="s">
        <v>180</v>
      </c>
    </row>
    <row r="147" spans="1:1">
      <c r="A147" t="s">
        <v>181</v>
      </c>
    </row>
    <row r="148" spans="1:1">
      <c r="A148" t="s">
        <v>182</v>
      </c>
    </row>
    <row r="149" spans="1:1">
      <c r="A149" t="s">
        <v>183</v>
      </c>
    </row>
    <row r="150" spans="1:1">
      <c r="A150" t="s">
        <v>184</v>
      </c>
    </row>
    <row r="151" spans="1:1">
      <c r="A151" t="s">
        <v>185</v>
      </c>
    </row>
    <row r="152" spans="1:1">
      <c r="A152" t="s">
        <v>186</v>
      </c>
    </row>
    <row r="153" spans="1:1">
      <c r="A153" t="s">
        <v>187</v>
      </c>
    </row>
    <row r="154" spans="1:1">
      <c r="A154" t="s">
        <v>188</v>
      </c>
    </row>
    <row r="155" spans="1:1">
      <c r="A155" t="s">
        <v>189</v>
      </c>
    </row>
    <row r="156" spans="1:1">
      <c r="A156" t="s">
        <v>190</v>
      </c>
    </row>
    <row r="157" spans="1:1">
      <c r="A157" t="s">
        <v>191</v>
      </c>
    </row>
    <row r="158" spans="1:1">
      <c r="A158" t="s">
        <v>192</v>
      </c>
    </row>
    <row r="159" spans="1:1">
      <c r="A159" t="s">
        <v>193</v>
      </c>
    </row>
    <row r="160" spans="1:1">
      <c r="A160" t="s">
        <v>194</v>
      </c>
    </row>
    <row r="161" spans="1:1">
      <c r="A161" t="s">
        <v>195</v>
      </c>
    </row>
    <row r="162" spans="1:1">
      <c r="A162" t="s">
        <v>196</v>
      </c>
    </row>
    <row r="163" spans="1:1">
      <c r="A163" t="s">
        <v>197</v>
      </c>
    </row>
    <row r="164" spans="1:1">
      <c r="A164" t="s">
        <v>198</v>
      </c>
    </row>
    <row r="165" spans="1:1">
      <c r="A165" t="s">
        <v>199</v>
      </c>
    </row>
    <row r="166" spans="1:1">
      <c r="A166" t="s">
        <v>200</v>
      </c>
    </row>
    <row r="167" spans="1:1">
      <c r="A167" t="s">
        <v>201</v>
      </c>
    </row>
    <row r="168" spans="1:1">
      <c r="A168" t="s">
        <v>202</v>
      </c>
    </row>
    <row r="169" spans="1:1">
      <c r="A169" t="s">
        <v>203</v>
      </c>
    </row>
    <row r="170" spans="1:1">
      <c r="A170" t="s">
        <v>204</v>
      </c>
    </row>
    <row r="171" spans="1:1">
      <c r="A171" t="s">
        <v>205</v>
      </c>
    </row>
    <row r="172" spans="1:1">
      <c r="A172" t="s">
        <v>206</v>
      </c>
    </row>
    <row r="173" spans="1:1">
      <c r="A173" t="s">
        <v>207</v>
      </c>
    </row>
    <row r="174" spans="1:1">
      <c r="A174" t="s">
        <v>208</v>
      </c>
    </row>
    <row r="175" spans="1:1">
      <c r="A175" t="s">
        <v>209</v>
      </c>
    </row>
    <row r="176" spans="1:1">
      <c r="A176" t="s">
        <v>210</v>
      </c>
    </row>
    <row r="177" spans="1:1">
      <c r="A177" t="s">
        <v>211</v>
      </c>
    </row>
    <row r="178" spans="1:1">
      <c r="A178" t="s">
        <v>212</v>
      </c>
    </row>
    <row r="179" spans="1:1">
      <c r="A179" t="s">
        <v>213</v>
      </c>
    </row>
    <row r="180" spans="1:1">
      <c r="A180" t="s">
        <v>214</v>
      </c>
    </row>
    <row r="181" spans="1:1">
      <c r="A181" t="s">
        <v>215</v>
      </c>
    </row>
    <row r="182" spans="1:1">
      <c r="A182" t="s">
        <v>216</v>
      </c>
    </row>
    <row r="183" spans="1:1">
      <c r="A183" t="s">
        <v>217</v>
      </c>
    </row>
    <row r="184" spans="1:1">
      <c r="A184" t="s">
        <v>218</v>
      </c>
    </row>
    <row r="185" spans="1:1">
      <c r="A185" t="s">
        <v>219</v>
      </c>
    </row>
    <row r="186" spans="1:1">
      <c r="A186" t="s">
        <v>220</v>
      </c>
    </row>
    <row r="187" spans="1:1">
      <c r="A187" t="s">
        <v>221</v>
      </c>
    </row>
    <row r="188" spans="1:1">
      <c r="A188" t="s">
        <v>222</v>
      </c>
    </row>
    <row r="189" spans="1:1">
      <c r="A189" t="s">
        <v>223</v>
      </c>
    </row>
    <row r="190" spans="1:1">
      <c r="A190" t="s">
        <v>224</v>
      </c>
    </row>
    <row r="191" spans="1:1">
      <c r="A191" t="s">
        <v>225</v>
      </c>
    </row>
    <row r="192" spans="1:1">
      <c r="A192" t="s">
        <v>226</v>
      </c>
    </row>
    <row r="193" spans="1:1">
      <c r="A193" t="s">
        <v>227</v>
      </c>
    </row>
    <row r="194" spans="1:1">
      <c r="A194" t="s">
        <v>228</v>
      </c>
    </row>
    <row r="195" spans="1:1">
      <c r="A195" t="s">
        <v>229</v>
      </c>
    </row>
    <row r="196" spans="1:1">
      <c r="A196" t="s">
        <v>230</v>
      </c>
    </row>
    <row r="197" spans="1:1">
      <c r="A197" t="s">
        <v>231</v>
      </c>
    </row>
    <row r="198" spans="1:1">
      <c r="A198" t="s">
        <v>231</v>
      </c>
    </row>
  </sheetData>
  <mergeCells count="2">
    <mergeCell ref="D1:E1"/>
    <mergeCell ref="H1:I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81"/>
  <sheetViews>
    <sheetView topLeftCell="F1" workbookViewId="0">
      <pane ySplit="2" topLeftCell="A3" activePane="bottomLeft" state="frozen"/>
      <selection pane="bottomLeft" activeCell="P15" sqref="P15"/>
    </sheetView>
  </sheetViews>
  <sheetFormatPr defaultRowHeight="15"/>
  <cols>
    <col min="23" max="23" width="15.140625" customWidth="1"/>
  </cols>
  <sheetData>
    <row r="1" spans="1:23" ht="15.75" thickBot="1">
      <c r="A1" s="139" t="s">
        <v>280</v>
      </c>
      <c r="B1" s="139"/>
      <c r="C1" s="139"/>
      <c r="D1" s="139"/>
      <c r="E1" s="139"/>
      <c r="F1" s="139"/>
      <c r="G1" s="139"/>
      <c r="H1" s="139"/>
      <c r="I1" s="139"/>
      <c r="J1" s="139"/>
      <c r="K1" s="139"/>
      <c r="L1" s="35"/>
      <c r="M1" s="139" t="s">
        <v>281</v>
      </c>
      <c r="N1" s="139"/>
      <c r="O1" s="139"/>
      <c r="P1" s="139"/>
      <c r="Q1" s="139"/>
      <c r="R1" s="139"/>
      <c r="S1" s="139"/>
      <c r="T1" s="139"/>
      <c r="U1" s="139"/>
      <c r="V1" s="139"/>
      <c r="W1" s="139"/>
    </row>
    <row r="2" spans="1:23" ht="18.75" thickBot="1">
      <c r="A2" s="36" t="s">
        <v>282</v>
      </c>
      <c r="B2" s="36" t="s">
        <v>55</v>
      </c>
      <c r="C2" s="37" t="s">
        <v>283</v>
      </c>
      <c r="D2" s="37" t="s">
        <v>284</v>
      </c>
      <c r="E2" s="37" t="s">
        <v>285</v>
      </c>
      <c r="F2" s="37" t="s">
        <v>14</v>
      </c>
      <c r="G2" s="37" t="s">
        <v>286</v>
      </c>
      <c r="H2" s="37" t="s">
        <v>287</v>
      </c>
      <c r="I2" s="37" t="s">
        <v>288</v>
      </c>
      <c r="J2" s="37" t="s">
        <v>289</v>
      </c>
      <c r="K2" s="37" t="s">
        <v>290</v>
      </c>
      <c r="L2" s="37" t="s">
        <v>291</v>
      </c>
      <c r="M2" s="37" t="s">
        <v>287</v>
      </c>
      <c r="N2" s="37" t="s">
        <v>288</v>
      </c>
      <c r="O2" s="37" t="s">
        <v>289</v>
      </c>
      <c r="P2" s="37" t="s">
        <v>290</v>
      </c>
      <c r="Q2" s="37" t="s">
        <v>286</v>
      </c>
      <c r="R2" s="37" t="s">
        <v>14</v>
      </c>
      <c r="S2" s="37" t="s">
        <v>285</v>
      </c>
      <c r="T2" s="37" t="s">
        <v>284</v>
      </c>
      <c r="U2" s="38" t="s">
        <v>283</v>
      </c>
      <c r="V2" s="39" t="s">
        <v>55</v>
      </c>
      <c r="W2" s="40" t="s">
        <v>282</v>
      </c>
    </row>
    <row r="3" spans="1:23" ht="15.75" thickBot="1">
      <c r="A3">
        <v>0.77187165491508858</v>
      </c>
      <c r="B3">
        <v>233</v>
      </c>
      <c r="C3">
        <v>0</v>
      </c>
      <c r="D3" t="s">
        <v>23</v>
      </c>
      <c r="E3">
        <v>18.491614811108274</v>
      </c>
      <c r="F3">
        <v>15.8</v>
      </c>
      <c r="G3">
        <v>0</v>
      </c>
      <c r="H3" t="s">
        <v>23</v>
      </c>
      <c r="I3" t="s">
        <v>23</v>
      </c>
      <c r="J3" t="s">
        <v>23</v>
      </c>
      <c r="K3" t="s">
        <v>23</v>
      </c>
      <c r="L3" s="35">
        <v>330</v>
      </c>
      <c r="M3" t="s">
        <v>23</v>
      </c>
      <c r="N3" t="s">
        <v>23</v>
      </c>
      <c r="O3" t="s">
        <v>23</v>
      </c>
      <c r="P3" t="s">
        <v>23</v>
      </c>
      <c r="Q3">
        <v>0</v>
      </c>
      <c r="R3">
        <v>2.35</v>
      </c>
      <c r="S3">
        <v>17.803366432759894</v>
      </c>
      <c r="T3" t="s">
        <v>23</v>
      </c>
      <c r="U3">
        <v>0</v>
      </c>
      <c r="V3">
        <v>1435</v>
      </c>
      <c r="W3">
        <v>-0.22013792460941084</v>
      </c>
    </row>
    <row r="4" spans="1:23" ht="15.75" thickBot="1">
      <c r="A4">
        <v>0.75774915000555854</v>
      </c>
      <c r="B4">
        <v>3</v>
      </c>
      <c r="C4">
        <v>0</v>
      </c>
      <c r="D4" t="s">
        <v>23</v>
      </c>
      <c r="E4">
        <v>16.681555556091567</v>
      </c>
      <c r="F4">
        <v>13.75</v>
      </c>
      <c r="G4">
        <v>0</v>
      </c>
      <c r="H4" t="s">
        <v>23</v>
      </c>
      <c r="I4" t="s">
        <v>23</v>
      </c>
      <c r="J4" t="s">
        <v>23</v>
      </c>
      <c r="K4" t="s">
        <v>23</v>
      </c>
      <c r="L4" s="35">
        <v>332</v>
      </c>
      <c r="M4" t="s">
        <v>23</v>
      </c>
      <c r="N4" t="s">
        <v>23</v>
      </c>
      <c r="O4" t="s">
        <v>23</v>
      </c>
      <c r="P4" t="s">
        <v>23</v>
      </c>
      <c r="Q4">
        <v>0</v>
      </c>
      <c r="R4">
        <v>2.9</v>
      </c>
      <c r="S4">
        <v>17.944203472394321</v>
      </c>
      <c r="T4" t="s">
        <v>23</v>
      </c>
      <c r="U4">
        <v>0</v>
      </c>
      <c r="V4">
        <v>350</v>
      </c>
      <c r="W4">
        <v>-0.25670601439299856</v>
      </c>
    </row>
    <row r="5" spans="1:23" ht="15.75" thickBot="1">
      <c r="A5">
        <v>0.68736632231233985</v>
      </c>
      <c r="B5">
        <v>160</v>
      </c>
      <c r="C5">
        <v>0</v>
      </c>
      <c r="D5" t="s">
        <v>23</v>
      </c>
      <c r="E5">
        <v>17.843771460401022</v>
      </c>
      <c r="F5">
        <v>12.05</v>
      </c>
      <c r="G5">
        <v>0</v>
      </c>
      <c r="H5" t="s">
        <v>23</v>
      </c>
      <c r="I5" t="s">
        <v>23</v>
      </c>
      <c r="J5" t="s">
        <v>23</v>
      </c>
      <c r="K5" t="s">
        <v>23</v>
      </c>
      <c r="L5" s="35">
        <v>335</v>
      </c>
      <c r="M5" t="s">
        <v>23</v>
      </c>
      <c r="N5" t="s">
        <v>23</v>
      </c>
      <c r="O5" t="s">
        <v>23</v>
      </c>
      <c r="P5" t="s">
        <v>23</v>
      </c>
      <c r="Q5">
        <v>0</v>
      </c>
      <c r="R5">
        <v>3.65</v>
      </c>
      <c r="S5">
        <v>17.52373012757468</v>
      </c>
      <c r="T5" t="s">
        <v>23</v>
      </c>
      <c r="U5">
        <v>0</v>
      </c>
      <c r="V5">
        <v>618</v>
      </c>
      <c r="W5">
        <v>-0.30982288771449862</v>
      </c>
    </row>
    <row r="6" spans="1:23" ht="15.75" thickBot="1">
      <c r="A6">
        <v>0.65280536012463852</v>
      </c>
      <c r="B6">
        <v>69</v>
      </c>
      <c r="C6">
        <v>0</v>
      </c>
      <c r="D6" t="s">
        <v>23</v>
      </c>
      <c r="E6">
        <v>17.005358589472568</v>
      </c>
      <c r="F6">
        <v>10.45</v>
      </c>
      <c r="G6">
        <v>0</v>
      </c>
      <c r="H6" t="s">
        <v>23</v>
      </c>
      <c r="I6" t="s">
        <v>23</v>
      </c>
      <c r="J6" t="s">
        <v>23</v>
      </c>
      <c r="K6" t="s">
        <v>23</v>
      </c>
      <c r="L6" s="35">
        <v>337</v>
      </c>
      <c r="M6" t="s">
        <v>23</v>
      </c>
      <c r="N6" t="s">
        <v>23</v>
      </c>
      <c r="O6" t="s">
        <v>23</v>
      </c>
      <c r="P6" t="s">
        <v>23</v>
      </c>
      <c r="Q6">
        <v>0</v>
      </c>
      <c r="R6">
        <v>4.5</v>
      </c>
      <c r="S6">
        <v>17.940102363204211</v>
      </c>
      <c r="T6" t="s">
        <v>23</v>
      </c>
      <c r="U6">
        <v>0</v>
      </c>
      <c r="V6">
        <v>127</v>
      </c>
      <c r="W6">
        <v>-0.35377174904976416</v>
      </c>
    </row>
    <row r="7" spans="1:23" ht="15.75" thickBot="1">
      <c r="A7">
        <v>0.58392085922875481</v>
      </c>
      <c r="B7">
        <v>1999</v>
      </c>
      <c r="C7">
        <v>0</v>
      </c>
      <c r="D7" t="s">
        <v>23</v>
      </c>
      <c r="E7">
        <v>17.724180540969563</v>
      </c>
      <c r="F7">
        <v>8.9499999999999993</v>
      </c>
      <c r="G7">
        <v>0</v>
      </c>
      <c r="H7" t="s">
        <v>23</v>
      </c>
      <c r="I7" t="s">
        <v>23</v>
      </c>
      <c r="J7" t="s">
        <v>23</v>
      </c>
      <c r="K7" t="s">
        <v>23</v>
      </c>
      <c r="L7" s="35">
        <v>340</v>
      </c>
      <c r="M7" t="s">
        <v>23</v>
      </c>
      <c r="N7" t="s">
        <v>23</v>
      </c>
      <c r="O7" t="s">
        <v>23</v>
      </c>
      <c r="P7" t="s">
        <v>23</v>
      </c>
      <c r="Q7">
        <v>0</v>
      </c>
      <c r="R7">
        <v>5.5</v>
      </c>
      <c r="S7">
        <v>17.420419074386391</v>
      </c>
      <c r="T7" t="s">
        <v>23</v>
      </c>
      <c r="U7">
        <v>0</v>
      </c>
      <c r="V7">
        <v>1922</v>
      </c>
      <c r="W7">
        <v>-0.41499548058859792</v>
      </c>
    </row>
    <row r="8" spans="1:23" ht="15.75" thickBot="1">
      <c r="A8">
        <v>0.54099190498070049</v>
      </c>
      <c r="B8">
        <v>353</v>
      </c>
      <c r="C8">
        <v>0</v>
      </c>
      <c r="D8" t="s">
        <v>23</v>
      </c>
      <c r="E8">
        <v>17.161819805133486</v>
      </c>
      <c r="F8">
        <v>7.65</v>
      </c>
      <c r="G8">
        <v>0</v>
      </c>
      <c r="H8" t="s">
        <v>23</v>
      </c>
      <c r="I8" t="s">
        <v>23</v>
      </c>
      <c r="J8" t="s">
        <v>23</v>
      </c>
      <c r="K8" t="s">
        <v>23</v>
      </c>
      <c r="L8" s="35">
        <v>342</v>
      </c>
      <c r="M8" t="s">
        <v>23</v>
      </c>
      <c r="N8" t="s">
        <v>23</v>
      </c>
      <c r="O8" t="s">
        <v>23</v>
      </c>
      <c r="P8" t="s">
        <v>23</v>
      </c>
      <c r="Q8">
        <v>0</v>
      </c>
      <c r="R8">
        <v>6.7</v>
      </c>
      <c r="S8">
        <v>18.144906702884818</v>
      </c>
      <c r="T8" t="s">
        <v>23</v>
      </c>
      <c r="U8">
        <v>0</v>
      </c>
      <c r="V8">
        <v>259</v>
      </c>
      <c r="W8">
        <v>-0.46008585164736182</v>
      </c>
    </row>
    <row r="9" spans="1:23" ht="15.75" thickBot="1">
      <c r="A9">
        <v>0.47548657383831094</v>
      </c>
      <c r="B9">
        <v>1029</v>
      </c>
      <c r="C9">
        <v>0</v>
      </c>
      <c r="D9" t="s">
        <v>23</v>
      </c>
      <c r="E9">
        <v>18.017594595067131</v>
      </c>
      <c r="F9">
        <v>6.55</v>
      </c>
      <c r="G9">
        <v>0</v>
      </c>
      <c r="H9" t="s">
        <v>23</v>
      </c>
      <c r="I9" t="s">
        <v>23</v>
      </c>
      <c r="J9" t="s">
        <v>23</v>
      </c>
      <c r="K9" t="s">
        <v>23</v>
      </c>
      <c r="L9" s="35">
        <v>345</v>
      </c>
      <c r="M9" t="s">
        <v>23</v>
      </c>
      <c r="N9" t="s">
        <v>23</v>
      </c>
      <c r="O9" t="s">
        <v>23</v>
      </c>
      <c r="P9" t="s">
        <v>23</v>
      </c>
      <c r="Q9">
        <v>0</v>
      </c>
      <c r="R9">
        <v>8</v>
      </c>
      <c r="S9">
        <v>17.583280184853852</v>
      </c>
      <c r="T9" t="s">
        <v>23</v>
      </c>
      <c r="U9">
        <v>0</v>
      </c>
      <c r="V9">
        <v>453</v>
      </c>
      <c r="W9">
        <v>-0.52564181801876564</v>
      </c>
    </row>
    <row r="10" spans="1:23" ht="15.75" thickBot="1">
      <c r="A10">
        <v>0.42998195061849903</v>
      </c>
      <c r="B10">
        <v>117</v>
      </c>
      <c r="C10">
        <v>0</v>
      </c>
      <c r="D10" t="s">
        <v>23</v>
      </c>
      <c r="E10">
        <v>17.413064919604498</v>
      </c>
      <c r="F10">
        <v>5.45</v>
      </c>
      <c r="G10">
        <v>0</v>
      </c>
      <c r="H10" t="s">
        <v>23</v>
      </c>
      <c r="I10" t="s">
        <v>23</v>
      </c>
      <c r="J10" t="s">
        <v>23</v>
      </c>
      <c r="K10" t="s">
        <v>23</v>
      </c>
      <c r="L10" s="35">
        <v>347</v>
      </c>
      <c r="M10" t="s">
        <v>23</v>
      </c>
      <c r="N10" t="s">
        <v>23</v>
      </c>
      <c r="O10" t="s">
        <v>23</v>
      </c>
      <c r="P10" t="s">
        <v>23</v>
      </c>
      <c r="Q10">
        <v>0</v>
      </c>
      <c r="R10">
        <v>9.5500000000000007</v>
      </c>
      <c r="S10">
        <v>18.641255001768243</v>
      </c>
      <c r="T10" t="s">
        <v>23</v>
      </c>
      <c r="U10">
        <v>0</v>
      </c>
      <c r="V10">
        <v>25</v>
      </c>
      <c r="W10">
        <v>-0.56404911322086337</v>
      </c>
    </row>
    <row r="11" spans="1:23" ht="15.75" thickBot="1">
      <c r="A11">
        <v>0.37318048393667524</v>
      </c>
      <c r="B11">
        <v>3368</v>
      </c>
      <c r="C11">
        <v>0</v>
      </c>
      <c r="D11" t="s">
        <v>23</v>
      </c>
      <c r="E11">
        <v>18.255380048862477</v>
      </c>
      <c r="F11">
        <v>4.6500000000000004</v>
      </c>
      <c r="G11">
        <v>0</v>
      </c>
      <c r="H11" t="s">
        <v>23</v>
      </c>
      <c r="I11" t="s">
        <v>23</v>
      </c>
      <c r="J11" t="s">
        <v>23</v>
      </c>
      <c r="K11" t="s">
        <v>23</v>
      </c>
      <c r="L11" s="35">
        <v>350</v>
      </c>
      <c r="M11" t="s">
        <v>23</v>
      </c>
      <c r="N11" t="s">
        <v>23</v>
      </c>
      <c r="O11" t="s">
        <v>23</v>
      </c>
      <c r="P11" t="s">
        <v>23</v>
      </c>
      <c r="Q11">
        <v>0</v>
      </c>
      <c r="R11">
        <v>10.95</v>
      </c>
      <c r="S11">
        <v>17.52320185058743</v>
      </c>
      <c r="T11" t="s">
        <v>23</v>
      </c>
      <c r="U11">
        <v>0</v>
      </c>
      <c r="V11">
        <v>1239</v>
      </c>
      <c r="W11">
        <v>-0.63276747619973805</v>
      </c>
    </row>
    <row r="12" spans="1:23" ht="15.75" thickBot="1">
      <c r="A12">
        <v>0.33207363928989531</v>
      </c>
      <c r="B12">
        <v>137</v>
      </c>
      <c r="C12">
        <v>0</v>
      </c>
      <c r="D12" t="s">
        <v>23</v>
      </c>
      <c r="E12">
        <v>18.015450905302234</v>
      </c>
      <c r="F12">
        <v>3.9</v>
      </c>
      <c r="G12">
        <v>0</v>
      </c>
      <c r="H12" t="s">
        <v>23</v>
      </c>
      <c r="I12" t="s">
        <v>23</v>
      </c>
      <c r="J12" t="s">
        <v>23</v>
      </c>
      <c r="K12" t="s">
        <v>23</v>
      </c>
      <c r="L12" s="35">
        <v>352</v>
      </c>
      <c r="M12" t="s">
        <v>23</v>
      </c>
      <c r="N12" t="s">
        <v>23</v>
      </c>
      <c r="O12" t="s">
        <v>23</v>
      </c>
      <c r="P12" t="s">
        <v>23</v>
      </c>
      <c r="Q12">
        <v>0</v>
      </c>
      <c r="R12">
        <v>17.55</v>
      </c>
      <c r="S12">
        <v>31.174627424396046</v>
      </c>
      <c r="T12" t="s">
        <v>23</v>
      </c>
      <c r="U12">
        <v>0</v>
      </c>
      <c r="V12">
        <v>1</v>
      </c>
      <c r="W12">
        <v>-0.58700874284643279</v>
      </c>
    </row>
    <row r="13" spans="1:23" ht="15.75" thickBot="1">
      <c r="L13" s="35"/>
    </row>
    <row r="14" spans="1:23" ht="15.75" thickBot="1">
      <c r="L14" s="35"/>
    </row>
    <row r="15" spans="1:23" ht="15.75" thickBot="1">
      <c r="L15" s="35"/>
    </row>
    <row r="16" spans="1:23" ht="15.75" thickBot="1">
      <c r="L16" s="35"/>
    </row>
    <row r="17" spans="12:12" ht="15.75" thickBot="1">
      <c r="L17" s="35"/>
    </row>
    <row r="18" spans="12:12" ht="15.75" thickBot="1">
      <c r="L18" s="35"/>
    </row>
    <row r="19" spans="12:12" ht="15.75" thickBot="1">
      <c r="L19" s="35"/>
    </row>
    <row r="20" spans="12:12" ht="15.75" thickBot="1">
      <c r="L20" s="35"/>
    </row>
    <row r="21" spans="12:12" ht="15.75" thickBot="1">
      <c r="L21" s="35"/>
    </row>
    <row r="22" spans="12:12" ht="15.75" thickBot="1">
      <c r="L22" s="35"/>
    </row>
    <row r="23" spans="12:12" ht="15.75" thickBot="1">
      <c r="L23" s="35"/>
    </row>
    <row r="24" spans="12:12" ht="15.75" thickBot="1">
      <c r="L24" s="35"/>
    </row>
    <row r="25" spans="12:12" ht="15.75" thickBot="1">
      <c r="L25" s="35"/>
    </row>
    <row r="26" spans="12:12" ht="15.75" thickBot="1">
      <c r="L26" s="35"/>
    </row>
    <row r="27" spans="12:12" ht="15.75" thickBot="1">
      <c r="L27" s="35"/>
    </row>
    <row r="28" spans="12:12" ht="15.75" thickBot="1">
      <c r="L28" s="35"/>
    </row>
    <row r="29" spans="12:12" ht="15.75" thickBot="1">
      <c r="L29" s="35"/>
    </row>
    <row r="30" spans="12:12" ht="15.75" thickBot="1">
      <c r="L30" s="35"/>
    </row>
    <row r="31" spans="12:12" ht="15.75" thickBot="1">
      <c r="L31" s="35"/>
    </row>
    <row r="32" spans="12:12" ht="15.75" thickBot="1">
      <c r="L32" s="35"/>
    </row>
    <row r="33" spans="12:12" ht="15.75" thickBot="1">
      <c r="L33" s="35"/>
    </row>
    <row r="34" spans="12:12" ht="15.75" thickBot="1">
      <c r="L34" s="35"/>
    </row>
    <row r="35" spans="12:12" ht="15.75" thickBot="1">
      <c r="L35" s="35"/>
    </row>
    <row r="36" spans="12:12" ht="15.75" thickBot="1">
      <c r="L36" s="35"/>
    </row>
    <row r="37" spans="12:12" ht="15.75" thickBot="1">
      <c r="L37" s="35"/>
    </row>
    <row r="38" spans="12:12" ht="15.75" thickBot="1">
      <c r="L38" s="35"/>
    </row>
    <row r="39" spans="12:12" ht="15.75" thickBot="1">
      <c r="L39" s="35"/>
    </row>
    <row r="40" spans="12:12" ht="15.75" thickBot="1">
      <c r="L40" s="35"/>
    </row>
    <row r="41" spans="12:12" ht="15.75" thickBot="1">
      <c r="L41" s="35"/>
    </row>
    <row r="42" spans="12:12" ht="15.75" thickBot="1">
      <c r="L42" s="35"/>
    </row>
    <row r="43" spans="12:12" ht="15.75" thickBot="1">
      <c r="L43" s="35"/>
    </row>
    <row r="44" spans="12:12" ht="15.75" thickBot="1">
      <c r="L44" s="35"/>
    </row>
    <row r="45" spans="12:12" ht="15.75" thickBot="1">
      <c r="L45" s="35"/>
    </row>
    <row r="46" spans="12:12" ht="15.75" thickBot="1">
      <c r="L46" s="35"/>
    </row>
    <row r="47" spans="12:12" ht="15.75" thickBot="1">
      <c r="L47" s="35"/>
    </row>
    <row r="48" spans="12:12" ht="15.75" thickBot="1">
      <c r="L48" s="35"/>
    </row>
    <row r="49" spans="12:12" ht="15.75" thickBot="1">
      <c r="L49" s="35"/>
    </row>
    <row r="50" spans="12:12" ht="15.75" thickBot="1">
      <c r="L50" s="35"/>
    </row>
    <row r="51" spans="12:12" ht="15.75" thickBot="1">
      <c r="L51" s="35"/>
    </row>
    <row r="52" spans="12:12" ht="15.75" thickBot="1">
      <c r="L52" s="35"/>
    </row>
    <row r="53" spans="12:12" ht="15.75" thickBot="1">
      <c r="L53" s="35"/>
    </row>
    <row r="54" spans="12:12" ht="15.75" thickBot="1">
      <c r="L54" s="35"/>
    </row>
    <row r="55" spans="12:12" ht="15.75" thickBot="1">
      <c r="L55" s="35"/>
    </row>
    <row r="56" spans="12:12" ht="15.75" thickBot="1">
      <c r="L56" s="35"/>
    </row>
    <row r="57" spans="12:12" ht="15.75" thickBot="1">
      <c r="L57" s="35"/>
    </row>
    <row r="58" spans="12:12" ht="15.75" thickBot="1">
      <c r="L58" s="35"/>
    </row>
    <row r="59" spans="12:12" ht="15.75" thickBot="1">
      <c r="L59" s="35"/>
    </row>
    <row r="60" spans="12:12" ht="15.75" thickBot="1">
      <c r="L60" s="35"/>
    </row>
    <row r="61" spans="12:12" ht="15.75" thickBot="1">
      <c r="L61" s="35"/>
    </row>
    <row r="62" spans="12:12" ht="15.75" thickBot="1">
      <c r="L62" s="35"/>
    </row>
    <row r="63" spans="12:12" ht="15.75" thickBot="1">
      <c r="L63" s="35"/>
    </row>
    <row r="64" spans="12:12" ht="15.75" thickBot="1">
      <c r="L64" s="35"/>
    </row>
    <row r="65" spans="12:12" ht="15.75" thickBot="1">
      <c r="L65" s="35"/>
    </row>
    <row r="66" spans="12:12" ht="15.75" thickBot="1">
      <c r="L66" s="35"/>
    </row>
    <row r="67" spans="12:12" ht="15.75" thickBot="1">
      <c r="L67" s="35"/>
    </row>
    <row r="68" spans="12:12" ht="15.75" thickBot="1">
      <c r="L68" s="35"/>
    </row>
    <row r="69" spans="12:12" ht="15.75" thickBot="1">
      <c r="L69" s="35"/>
    </row>
    <row r="70" spans="12:12" ht="15.75" thickBot="1">
      <c r="L70" s="35"/>
    </row>
    <row r="71" spans="12:12" ht="15.75" thickBot="1">
      <c r="L71" s="35"/>
    </row>
    <row r="72" spans="12:12" ht="15.75" thickBot="1">
      <c r="L72" s="35"/>
    </row>
    <row r="73" spans="12:12" ht="15.75" thickBot="1">
      <c r="L73" s="35"/>
    </row>
    <row r="74" spans="12:12" ht="15.75" thickBot="1">
      <c r="L74" s="35"/>
    </row>
    <row r="75" spans="12:12" ht="15.75" thickBot="1">
      <c r="L75" s="35"/>
    </row>
    <row r="76" spans="12:12" ht="15.75" thickBot="1">
      <c r="L76" s="35"/>
    </row>
    <row r="77" spans="12:12" ht="15.75" thickBot="1">
      <c r="L77" s="35"/>
    </row>
    <row r="78" spans="12:12" ht="15.75" thickBot="1">
      <c r="L78" s="35"/>
    </row>
    <row r="79" spans="12:12" ht="15.75" thickBot="1">
      <c r="L79" s="35"/>
    </row>
    <row r="80" spans="12:12" ht="15.75" thickBot="1">
      <c r="L80" s="35"/>
    </row>
    <row r="81" spans="12:12" ht="15.75" thickBot="1">
      <c r="L81" s="35"/>
    </row>
    <row r="82" spans="12:12" ht="15.75" thickBot="1">
      <c r="L82" s="35"/>
    </row>
    <row r="83" spans="12:12" ht="15.75" thickBot="1">
      <c r="L83" s="35"/>
    </row>
    <row r="84" spans="12:12" ht="15.75" thickBot="1">
      <c r="L84" s="35"/>
    </row>
    <row r="85" spans="12:12" ht="15.75" thickBot="1">
      <c r="L85" s="35"/>
    </row>
    <row r="86" spans="12:12" ht="15.75" thickBot="1">
      <c r="L86" s="35"/>
    </row>
    <row r="87" spans="12:12" ht="15.75" thickBot="1">
      <c r="L87" s="35"/>
    </row>
    <row r="88" spans="12:12" ht="15.75" thickBot="1">
      <c r="L88" s="35"/>
    </row>
    <row r="89" spans="12:12" ht="15.75" thickBot="1">
      <c r="L89" s="35"/>
    </row>
    <row r="90" spans="12:12" ht="15.75" thickBot="1">
      <c r="L90" s="35"/>
    </row>
    <row r="91" spans="12:12" ht="15.75" thickBot="1">
      <c r="L91" s="35"/>
    </row>
    <row r="92" spans="12:12" ht="15.75" thickBot="1">
      <c r="L92" s="35"/>
    </row>
    <row r="93" spans="12:12" ht="15.75" thickBot="1">
      <c r="L93" s="35"/>
    </row>
    <row r="94" spans="12:12" ht="15.75" thickBot="1">
      <c r="L94" s="35"/>
    </row>
    <row r="95" spans="12:12" ht="15.75" thickBot="1">
      <c r="L95" s="35"/>
    </row>
    <row r="96" spans="12:12" ht="15.75" thickBot="1">
      <c r="L96" s="35"/>
    </row>
    <row r="97" spans="12:12" ht="15.75" thickBot="1">
      <c r="L97" s="35"/>
    </row>
    <row r="98" spans="12:12" ht="15.75" thickBot="1">
      <c r="L98" s="35"/>
    </row>
    <row r="99" spans="12:12" ht="15.75" thickBot="1">
      <c r="L99" s="35"/>
    </row>
    <row r="100" spans="12:12" ht="15.75" thickBot="1">
      <c r="L100" s="35"/>
    </row>
    <row r="101" spans="12:12" ht="15.75" thickBot="1">
      <c r="L101" s="35"/>
    </row>
    <row r="102" spans="12:12" ht="15.75" thickBot="1">
      <c r="L102" s="35"/>
    </row>
    <row r="103" spans="12:12" ht="15.75" thickBot="1">
      <c r="L103" s="35"/>
    </row>
    <row r="104" spans="12:12" ht="15.75" thickBot="1">
      <c r="L104" s="35"/>
    </row>
    <row r="105" spans="12:12" ht="15.75" thickBot="1">
      <c r="L105" s="35"/>
    </row>
    <row r="106" spans="12:12" ht="15.75" thickBot="1">
      <c r="L106" s="35"/>
    </row>
    <row r="107" spans="12:12" ht="15.75" thickBot="1">
      <c r="L107" s="35"/>
    </row>
    <row r="108" spans="12:12" ht="15.75" thickBot="1">
      <c r="L108" s="35"/>
    </row>
    <row r="109" spans="12:12" ht="15.75" thickBot="1">
      <c r="L109" s="35"/>
    </row>
    <row r="110" spans="12:12" ht="15.75" thickBot="1">
      <c r="L110" s="35"/>
    </row>
    <row r="111" spans="12:12" ht="15.75" thickBot="1">
      <c r="L111" s="35"/>
    </row>
    <row r="112" spans="12:12" ht="15.75" thickBot="1">
      <c r="L112" s="35"/>
    </row>
    <row r="113" spans="12:12" ht="15.75" thickBot="1">
      <c r="L113" s="35"/>
    </row>
    <row r="114" spans="12:12" ht="15.75" thickBot="1">
      <c r="L114" s="35"/>
    </row>
    <row r="115" spans="12:12" ht="15.75" thickBot="1">
      <c r="L115" s="35"/>
    </row>
    <row r="116" spans="12:12" ht="15.75" thickBot="1">
      <c r="L116" s="35"/>
    </row>
    <row r="117" spans="12:12" ht="15.75" thickBot="1">
      <c r="L117" s="35"/>
    </row>
    <row r="118" spans="12:12" ht="15.75" thickBot="1">
      <c r="L118" s="35"/>
    </row>
    <row r="119" spans="12:12" ht="15.75" thickBot="1">
      <c r="L119" s="35"/>
    </row>
    <row r="120" spans="12:12" ht="15.75" thickBot="1">
      <c r="L120" s="35"/>
    </row>
    <row r="121" spans="12:12" ht="15.75" thickBot="1">
      <c r="L121" s="35"/>
    </row>
    <row r="122" spans="12:12" ht="15.75" thickBot="1">
      <c r="L122" s="35"/>
    </row>
    <row r="123" spans="12:12" ht="15.75" thickBot="1">
      <c r="L123" s="35"/>
    </row>
    <row r="124" spans="12:12" ht="15.75" thickBot="1">
      <c r="L124" s="35"/>
    </row>
    <row r="125" spans="12:12" ht="15.75" thickBot="1">
      <c r="L125" s="35"/>
    </row>
    <row r="126" spans="12:12" ht="15.75" thickBot="1">
      <c r="L126" s="35"/>
    </row>
    <row r="127" spans="12:12" ht="15.75" thickBot="1">
      <c r="L127" s="35"/>
    </row>
    <row r="128" spans="12:12" ht="15.75" thickBot="1">
      <c r="L128" s="35"/>
    </row>
    <row r="129" spans="12:12" ht="15.75" thickBot="1">
      <c r="L129" s="35"/>
    </row>
    <row r="130" spans="12:12" ht="15.75" thickBot="1">
      <c r="L130" s="35"/>
    </row>
    <row r="131" spans="12:12" ht="15.75" thickBot="1">
      <c r="L131" s="35"/>
    </row>
    <row r="132" spans="12:12" ht="15.75" thickBot="1">
      <c r="L132" s="35"/>
    </row>
    <row r="133" spans="12:12" ht="15.75" thickBot="1">
      <c r="L133" s="35"/>
    </row>
    <row r="134" spans="12:12" ht="15.75" thickBot="1">
      <c r="L134" s="35"/>
    </row>
    <row r="135" spans="12:12" ht="15.75" thickBot="1">
      <c r="L135" s="35"/>
    </row>
    <row r="136" spans="12:12" ht="15.75" thickBot="1">
      <c r="L136" s="35"/>
    </row>
    <row r="137" spans="12:12" ht="15.75" thickBot="1">
      <c r="L137" s="35"/>
    </row>
    <row r="138" spans="12:12" ht="15.75" thickBot="1">
      <c r="L138" s="35"/>
    </row>
    <row r="139" spans="12:12" ht="15.75" thickBot="1">
      <c r="L139" s="35"/>
    </row>
    <row r="140" spans="12:12" ht="15.75" thickBot="1">
      <c r="L140" s="35"/>
    </row>
    <row r="141" spans="12:12" ht="15.75" thickBot="1">
      <c r="L141" s="35"/>
    </row>
    <row r="142" spans="12:12" ht="15.75" thickBot="1">
      <c r="L142" s="35"/>
    </row>
    <row r="143" spans="12:12" ht="15.75" thickBot="1">
      <c r="L143" s="35"/>
    </row>
    <row r="144" spans="12:12" ht="15.75" thickBot="1">
      <c r="L144" s="35"/>
    </row>
    <row r="145" spans="12:12" ht="15.75" thickBot="1">
      <c r="L145" s="35"/>
    </row>
    <row r="146" spans="12:12" ht="15.75" thickBot="1">
      <c r="L146" s="35"/>
    </row>
    <row r="147" spans="12:12" ht="15.75" thickBot="1">
      <c r="L147" s="35"/>
    </row>
    <row r="148" spans="12:12" ht="15.75" thickBot="1">
      <c r="L148" s="35"/>
    </row>
    <row r="149" spans="12:12" ht="15.75" thickBot="1">
      <c r="L149" s="35"/>
    </row>
    <row r="150" spans="12:12" ht="15.75" thickBot="1">
      <c r="L150" s="35"/>
    </row>
    <row r="151" spans="12:12" ht="15.75" thickBot="1">
      <c r="L151" s="35"/>
    </row>
    <row r="152" spans="12:12" ht="15.75" thickBot="1">
      <c r="L152" s="35"/>
    </row>
    <row r="153" spans="12:12" ht="15.75" thickBot="1">
      <c r="L153" s="35"/>
    </row>
    <row r="154" spans="12:12" ht="15.75" thickBot="1">
      <c r="L154" s="35"/>
    </row>
    <row r="155" spans="12:12" ht="15.75" thickBot="1">
      <c r="L155" s="35"/>
    </row>
    <row r="156" spans="12:12" ht="15.75" thickBot="1">
      <c r="L156" s="35"/>
    </row>
    <row r="157" spans="12:12" ht="15.75" thickBot="1">
      <c r="L157" s="35"/>
    </row>
    <row r="158" spans="12:12" ht="15.75" thickBot="1">
      <c r="L158" s="35"/>
    </row>
    <row r="159" spans="12:12" ht="15.75" thickBot="1">
      <c r="L159" s="35"/>
    </row>
    <row r="160" spans="12:12" ht="15.75" thickBot="1">
      <c r="L160" s="35"/>
    </row>
    <row r="161" spans="12:12" ht="15.75" thickBot="1">
      <c r="L161" s="35"/>
    </row>
    <row r="162" spans="12:12" ht="15.75" thickBot="1">
      <c r="L162" s="35"/>
    </row>
    <row r="163" spans="12:12" ht="15.75" thickBot="1">
      <c r="L163" s="35"/>
    </row>
    <row r="164" spans="12:12" ht="15.75" thickBot="1">
      <c r="L164" s="35"/>
    </row>
    <row r="165" spans="12:12" ht="15.75" thickBot="1">
      <c r="L165" s="35"/>
    </row>
    <row r="166" spans="12:12" ht="15.75" thickBot="1">
      <c r="L166" s="35"/>
    </row>
    <row r="167" spans="12:12" ht="15.75" thickBot="1">
      <c r="L167" s="35"/>
    </row>
    <row r="168" spans="12:12" ht="15.75" thickBot="1">
      <c r="L168" s="35"/>
    </row>
    <row r="169" spans="12:12" ht="15.75" thickBot="1">
      <c r="L169" s="35"/>
    </row>
    <row r="170" spans="12:12" ht="15.75" thickBot="1">
      <c r="L170" s="35"/>
    </row>
    <row r="171" spans="12:12" ht="15.75" thickBot="1">
      <c r="L171" s="35"/>
    </row>
    <row r="172" spans="12:12" ht="15.75" thickBot="1">
      <c r="L172" s="35"/>
    </row>
    <row r="173" spans="12:12" ht="15.75" thickBot="1">
      <c r="L173" s="35"/>
    </row>
    <row r="174" spans="12:12" ht="15.75" thickBot="1">
      <c r="L174" s="35"/>
    </row>
    <row r="175" spans="12:12" ht="15.75" thickBot="1">
      <c r="L175" s="35"/>
    </row>
    <row r="176" spans="12:12" ht="15.75" thickBot="1">
      <c r="L176" s="35"/>
    </row>
    <row r="177" spans="12:12" ht="15.75" thickBot="1">
      <c r="L177" s="35"/>
    </row>
    <row r="178" spans="12:12" ht="15.75" thickBot="1">
      <c r="L178" s="35"/>
    </row>
    <row r="179" spans="12:12" ht="15.75" thickBot="1">
      <c r="L179" s="35"/>
    </row>
    <row r="180" spans="12:12" ht="15.75" thickBot="1">
      <c r="L180" s="35"/>
    </row>
    <row r="181" spans="12:12" ht="15.75" thickBot="1">
      <c r="L181" s="35"/>
    </row>
  </sheetData>
  <mergeCells count="2">
    <mergeCell ref="A1:K1"/>
    <mergeCell ref="M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70"/>
  <sheetViews>
    <sheetView tabSelected="1" workbookViewId="0">
      <selection activeCell="M10" sqref="M10"/>
    </sheetView>
  </sheetViews>
  <sheetFormatPr defaultRowHeight="15"/>
  <cols>
    <col min="1" max="1" width="18.140625" style="115" bestFit="1" customWidth="1"/>
    <col min="2" max="2" width="12.140625" style="44" customWidth="1"/>
    <col min="3" max="4" width="15.5703125" style="44" bestFit="1" customWidth="1"/>
    <col min="5" max="5" width="9.28515625" style="44" customWidth="1"/>
    <col min="6" max="6" width="9.28515625" style="44" bestFit="1" customWidth="1"/>
    <col min="7" max="7" width="15.5703125" style="44" bestFit="1" customWidth="1"/>
    <col min="8" max="11" width="9.28515625" style="44" bestFit="1" customWidth="1"/>
    <col min="12" max="12" width="11.7109375" style="44" bestFit="1" customWidth="1"/>
    <col min="13" max="13" width="10" style="44" customWidth="1"/>
    <col min="14" max="15" width="9.140625" style="44"/>
    <col min="16" max="16" width="15.5703125" style="44" bestFit="1" customWidth="1"/>
    <col min="17" max="17" width="11.5703125" style="44" bestFit="1" customWidth="1"/>
    <col min="18" max="18" width="13.140625" style="44" bestFit="1" customWidth="1"/>
    <col min="19" max="19" width="6.5703125" style="44" bestFit="1" customWidth="1"/>
    <col min="20" max="20" width="8" style="44" bestFit="1" customWidth="1"/>
    <col min="21" max="256" width="9.140625" style="44"/>
    <col min="257" max="257" width="18.140625" style="44" bestFit="1" customWidth="1"/>
    <col min="258" max="258" width="9.5703125" style="44" customWidth="1"/>
    <col min="259" max="259" width="12.42578125" style="44" customWidth="1"/>
    <col min="260" max="268" width="9.28515625" style="44" bestFit="1" customWidth="1"/>
    <col min="269" max="271" width="9.140625" style="44"/>
    <col min="272" max="272" width="10.5703125" style="44" bestFit="1" customWidth="1"/>
    <col min="273" max="512" width="9.140625" style="44"/>
    <col min="513" max="513" width="18.140625" style="44" bestFit="1" customWidth="1"/>
    <col min="514" max="514" width="9.5703125" style="44" customWidth="1"/>
    <col min="515" max="515" width="12.42578125" style="44" customWidth="1"/>
    <col min="516" max="524" width="9.28515625" style="44" bestFit="1" customWidth="1"/>
    <col min="525" max="527" width="9.140625" style="44"/>
    <col min="528" max="528" width="10.5703125" style="44" bestFit="1" customWidth="1"/>
    <col min="529" max="768" width="9.140625" style="44"/>
    <col min="769" max="769" width="18.140625" style="44" bestFit="1" customWidth="1"/>
    <col min="770" max="770" width="9.5703125" style="44" customWidth="1"/>
    <col min="771" max="771" width="12.42578125" style="44" customWidth="1"/>
    <col min="772" max="780" width="9.28515625" style="44" bestFit="1" customWidth="1"/>
    <col min="781" max="783" width="9.140625" style="44"/>
    <col min="784" max="784" width="10.5703125" style="44" bestFit="1" customWidth="1"/>
    <col min="785" max="1024" width="9.140625" style="44"/>
    <col min="1025" max="1025" width="18.140625" style="44" bestFit="1" customWidth="1"/>
    <col min="1026" max="1026" width="9.5703125" style="44" customWidth="1"/>
    <col min="1027" max="1027" width="12.42578125" style="44" customWidth="1"/>
    <col min="1028" max="1036" width="9.28515625" style="44" bestFit="1" customWidth="1"/>
    <col min="1037" max="1039" width="9.140625" style="44"/>
    <col min="1040" max="1040" width="10.5703125" style="44" bestFit="1" customWidth="1"/>
    <col min="1041" max="1280" width="9.140625" style="44"/>
    <col min="1281" max="1281" width="18.140625" style="44" bestFit="1" customWidth="1"/>
    <col min="1282" max="1282" width="9.5703125" style="44" customWidth="1"/>
    <col min="1283" max="1283" width="12.42578125" style="44" customWidth="1"/>
    <col min="1284" max="1292" width="9.28515625" style="44" bestFit="1" customWidth="1"/>
    <col min="1293" max="1295" width="9.140625" style="44"/>
    <col min="1296" max="1296" width="10.5703125" style="44" bestFit="1" customWidth="1"/>
    <col min="1297" max="1536" width="9.140625" style="44"/>
    <col min="1537" max="1537" width="18.140625" style="44" bestFit="1" customWidth="1"/>
    <col min="1538" max="1538" width="9.5703125" style="44" customWidth="1"/>
    <col min="1539" max="1539" width="12.42578125" style="44" customWidth="1"/>
    <col min="1540" max="1548" width="9.28515625" style="44" bestFit="1" customWidth="1"/>
    <col min="1549" max="1551" width="9.140625" style="44"/>
    <col min="1552" max="1552" width="10.5703125" style="44" bestFit="1" customWidth="1"/>
    <col min="1553" max="1792" width="9.140625" style="44"/>
    <col min="1793" max="1793" width="18.140625" style="44" bestFit="1" customWidth="1"/>
    <col min="1794" max="1794" width="9.5703125" style="44" customWidth="1"/>
    <col min="1795" max="1795" width="12.42578125" style="44" customWidth="1"/>
    <col min="1796" max="1804" width="9.28515625" style="44" bestFit="1" customWidth="1"/>
    <col min="1805" max="1807" width="9.140625" style="44"/>
    <col min="1808" max="1808" width="10.5703125" style="44" bestFit="1" customWidth="1"/>
    <col min="1809" max="2048" width="9.140625" style="44"/>
    <col min="2049" max="2049" width="18.140625" style="44" bestFit="1" customWidth="1"/>
    <col min="2050" max="2050" width="9.5703125" style="44" customWidth="1"/>
    <col min="2051" max="2051" width="12.42578125" style="44" customWidth="1"/>
    <col min="2052" max="2060" width="9.28515625" style="44" bestFit="1" customWidth="1"/>
    <col min="2061" max="2063" width="9.140625" style="44"/>
    <col min="2064" max="2064" width="10.5703125" style="44" bestFit="1" customWidth="1"/>
    <col min="2065" max="2304" width="9.140625" style="44"/>
    <col min="2305" max="2305" width="18.140625" style="44" bestFit="1" customWidth="1"/>
    <col min="2306" max="2306" width="9.5703125" style="44" customWidth="1"/>
    <col min="2307" max="2307" width="12.42578125" style="44" customWidth="1"/>
    <col min="2308" max="2316" width="9.28515625" style="44" bestFit="1" customWidth="1"/>
    <col min="2317" max="2319" width="9.140625" style="44"/>
    <col min="2320" max="2320" width="10.5703125" style="44" bestFit="1" customWidth="1"/>
    <col min="2321" max="2560" width="9.140625" style="44"/>
    <col min="2561" max="2561" width="18.140625" style="44" bestFit="1" customWidth="1"/>
    <col min="2562" max="2562" width="9.5703125" style="44" customWidth="1"/>
    <col min="2563" max="2563" width="12.42578125" style="44" customWidth="1"/>
    <col min="2564" max="2572" width="9.28515625" style="44" bestFit="1" customWidth="1"/>
    <col min="2573" max="2575" width="9.140625" style="44"/>
    <col min="2576" max="2576" width="10.5703125" style="44" bestFit="1" customWidth="1"/>
    <col min="2577" max="2816" width="9.140625" style="44"/>
    <col min="2817" max="2817" width="18.140625" style="44" bestFit="1" customWidth="1"/>
    <col min="2818" max="2818" width="9.5703125" style="44" customWidth="1"/>
    <col min="2819" max="2819" width="12.42578125" style="44" customWidth="1"/>
    <col min="2820" max="2828" width="9.28515625" style="44" bestFit="1" customWidth="1"/>
    <col min="2829" max="2831" width="9.140625" style="44"/>
    <col min="2832" max="2832" width="10.5703125" style="44" bestFit="1" customWidth="1"/>
    <col min="2833" max="3072" width="9.140625" style="44"/>
    <col min="3073" max="3073" width="18.140625" style="44" bestFit="1" customWidth="1"/>
    <col min="3074" max="3074" width="9.5703125" style="44" customWidth="1"/>
    <col min="3075" max="3075" width="12.42578125" style="44" customWidth="1"/>
    <col min="3076" max="3084" width="9.28515625" style="44" bestFit="1" customWidth="1"/>
    <col min="3085" max="3087" width="9.140625" style="44"/>
    <col min="3088" max="3088" width="10.5703125" style="44" bestFit="1" customWidth="1"/>
    <col min="3089" max="3328" width="9.140625" style="44"/>
    <col min="3329" max="3329" width="18.140625" style="44" bestFit="1" customWidth="1"/>
    <col min="3330" max="3330" width="9.5703125" style="44" customWidth="1"/>
    <col min="3331" max="3331" width="12.42578125" style="44" customWidth="1"/>
    <col min="3332" max="3340" width="9.28515625" style="44" bestFit="1" customWidth="1"/>
    <col min="3341" max="3343" width="9.140625" style="44"/>
    <col min="3344" max="3344" width="10.5703125" style="44" bestFit="1" customWidth="1"/>
    <col min="3345" max="3584" width="9.140625" style="44"/>
    <col min="3585" max="3585" width="18.140625" style="44" bestFit="1" customWidth="1"/>
    <col min="3586" max="3586" width="9.5703125" style="44" customWidth="1"/>
    <col min="3587" max="3587" width="12.42578125" style="44" customWidth="1"/>
    <col min="3588" max="3596" width="9.28515625" style="44" bestFit="1" customWidth="1"/>
    <col min="3597" max="3599" width="9.140625" style="44"/>
    <col min="3600" max="3600" width="10.5703125" style="44" bestFit="1" customWidth="1"/>
    <col min="3601" max="3840" width="9.140625" style="44"/>
    <col min="3841" max="3841" width="18.140625" style="44" bestFit="1" customWidth="1"/>
    <col min="3842" max="3842" width="9.5703125" style="44" customWidth="1"/>
    <col min="3843" max="3843" width="12.42578125" style="44" customWidth="1"/>
    <col min="3844" max="3852" width="9.28515625" style="44" bestFit="1" customWidth="1"/>
    <col min="3853" max="3855" width="9.140625" style="44"/>
    <col min="3856" max="3856" width="10.5703125" style="44" bestFit="1" customWidth="1"/>
    <col min="3857" max="4096" width="9.140625" style="44"/>
    <col min="4097" max="4097" width="18.140625" style="44" bestFit="1" customWidth="1"/>
    <col min="4098" max="4098" width="9.5703125" style="44" customWidth="1"/>
    <col min="4099" max="4099" width="12.42578125" style="44" customWidth="1"/>
    <col min="4100" max="4108" width="9.28515625" style="44" bestFit="1" customWidth="1"/>
    <col min="4109" max="4111" width="9.140625" style="44"/>
    <col min="4112" max="4112" width="10.5703125" style="44" bestFit="1" customWidth="1"/>
    <col min="4113" max="4352" width="9.140625" style="44"/>
    <col min="4353" max="4353" width="18.140625" style="44" bestFit="1" customWidth="1"/>
    <col min="4354" max="4354" width="9.5703125" style="44" customWidth="1"/>
    <col min="4355" max="4355" width="12.42578125" style="44" customWidth="1"/>
    <col min="4356" max="4364" width="9.28515625" style="44" bestFit="1" customWidth="1"/>
    <col min="4365" max="4367" width="9.140625" style="44"/>
    <col min="4368" max="4368" width="10.5703125" style="44" bestFit="1" customWidth="1"/>
    <col min="4369" max="4608" width="9.140625" style="44"/>
    <col min="4609" max="4609" width="18.140625" style="44" bestFit="1" customWidth="1"/>
    <col min="4610" max="4610" width="9.5703125" style="44" customWidth="1"/>
    <col min="4611" max="4611" width="12.42578125" style="44" customWidth="1"/>
    <col min="4612" max="4620" width="9.28515625" style="44" bestFit="1" customWidth="1"/>
    <col min="4621" max="4623" width="9.140625" style="44"/>
    <col min="4624" max="4624" width="10.5703125" style="44" bestFit="1" customWidth="1"/>
    <col min="4625" max="4864" width="9.140625" style="44"/>
    <col min="4865" max="4865" width="18.140625" style="44" bestFit="1" customWidth="1"/>
    <col min="4866" max="4866" width="9.5703125" style="44" customWidth="1"/>
    <col min="4867" max="4867" width="12.42578125" style="44" customWidth="1"/>
    <col min="4868" max="4876" width="9.28515625" style="44" bestFit="1" customWidth="1"/>
    <col min="4877" max="4879" width="9.140625" style="44"/>
    <col min="4880" max="4880" width="10.5703125" style="44" bestFit="1" customWidth="1"/>
    <col min="4881" max="5120" width="9.140625" style="44"/>
    <col min="5121" max="5121" width="18.140625" style="44" bestFit="1" customWidth="1"/>
    <col min="5122" max="5122" width="9.5703125" style="44" customWidth="1"/>
    <col min="5123" max="5123" width="12.42578125" style="44" customWidth="1"/>
    <col min="5124" max="5132" width="9.28515625" style="44" bestFit="1" customWidth="1"/>
    <col min="5133" max="5135" width="9.140625" style="44"/>
    <col min="5136" max="5136" width="10.5703125" style="44" bestFit="1" customWidth="1"/>
    <col min="5137" max="5376" width="9.140625" style="44"/>
    <col min="5377" max="5377" width="18.140625" style="44" bestFit="1" customWidth="1"/>
    <col min="5378" max="5378" width="9.5703125" style="44" customWidth="1"/>
    <col min="5379" max="5379" width="12.42578125" style="44" customWidth="1"/>
    <col min="5380" max="5388" width="9.28515625" style="44" bestFit="1" customWidth="1"/>
    <col min="5389" max="5391" width="9.140625" style="44"/>
    <col min="5392" max="5392" width="10.5703125" style="44" bestFit="1" customWidth="1"/>
    <col min="5393" max="5632" width="9.140625" style="44"/>
    <col min="5633" max="5633" width="18.140625" style="44" bestFit="1" customWidth="1"/>
    <col min="5634" max="5634" width="9.5703125" style="44" customWidth="1"/>
    <col min="5635" max="5635" width="12.42578125" style="44" customWidth="1"/>
    <col min="5636" max="5644" width="9.28515625" style="44" bestFit="1" customWidth="1"/>
    <col min="5645" max="5647" width="9.140625" style="44"/>
    <col min="5648" max="5648" width="10.5703125" style="44" bestFit="1" customWidth="1"/>
    <col min="5649" max="5888" width="9.140625" style="44"/>
    <col min="5889" max="5889" width="18.140625" style="44" bestFit="1" customWidth="1"/>
    <col min="5890" max="5890" width="9.5703125" style="44" customWidth="1"/>
    <col min="5891" max="5891" width="12.42578125" style="44" customWidth="1"/>
    <col min="5892" max="5900" width="9.28515625" style="44" bestFit="1" customWidth="1"/>
    <col min="5901" max="5903" width="9.140625" style="44"/>
    <col min="5904" max="5904" width="10.5703125" style="44" bestFit="1" customWidth="1"/>
    <col min="5905" max="6144" width="9.140625" style="44"/>
    <col min="6145" max="6145" width="18.140625" style="44" bestFit="1" customWidth="1"/>
    <col min="6146" max="6146" width="9.5703125" style="44" customWidth="1"/>
    <col min="6147" max="6147" width="12.42578125" style="44" customWidth="1"/>
    <col min="6148" max="6156" width="9.28515625" style="44" bestFit="1" customWidth="1"/>
    <col min="6157" max="6159" width="9.140625" style="44"/>
    <col min="6160" max="6160" width="10.5703125" style="44" bestFit="1" customWidth="1"/>
    <col min="6161" max="6400" width="9.140625" style="44"/>
    <col min="6401" max="6401" width="18.140625" style="44" bestFit="1" customWidth="1"/>
    <col min="6402" max="6402" width="9.5703125" style="44" customWidth="1"/>
    <col min="6403" max="6403" width="12.42578125" style="44" customWidth="1"/>
    <col min="6404" max="6412" width="9.28515625" style="44" bestFit="1" customWidth="1"/>
    <col min="6413" max="6415" width="9.140625" style="44"/>
    <col min="6416" max="6416" width="10.5703125" style="44" bestFit="1" customWidth="1"/>
    <col min="6417" max="6656" width="9.140625" style="44"/>
    <col min="6657" max="6657" width="18.140625" style="44" bestFit="1" customWidth="1"/>
    <col min="6658" max="6658" width="9.5703125" style="44" customWidth="1"/>
    <col min="6659" max="6659" width="12.42578125" style="44" customWidth="1"/>
    <col min="6660" max="6668" width="9.28515625" style="44" bestFit="1" customWidth="1"/>
    <col min="6669" max="6671" width="9.140625" style="44"/>
    <col min="6672" max="6672" width="10.5703125" style="44" bestFit="1" customWidth="1"/>
    <col min="6673" max="6912" width="9.140625" style="44"/>
    <col min="6913" max="6913" width="18.140625" style="44" bestFit="1" customWidth="1"/>
    <col min="6914" max="6914" width="9.5703125" style="44" customWidth="1"/>
    <col min="6915" max="6915" width="12.42578125" style="44" customWidth="1"/>
    <col min="6916" max="6924" width="9.28515625" style="44" bestFit="1" customWidth="1"/>
    <col min="6925" max="6927" width="9.140625" style="44"/>
    <col min="6928" max="6928" width="10.5703125" style="44" bestFit="1" customWidth="1"/>
    <col min="6929" max="7168" width="9.140625" style="44"/>
    <col min="7169" max="7169" width="18.140625" style="44" bestFit="1" customWidth="1"/>
    <col min="7170" max="7170" width="9.5703125" style="44" customWidth="1"/>
    <col min="7171" max="7171" width="12.42578125" style="44" customWidth="1"/>
    <col min="7172" max="7180" width="9.28515625" style="44" bestFit="1" customWidth="1"/>
    <col min="7181" max="7183" width="9.140625" style="44"/>
    <col min="7184" max="7184" width="10.5703125" style="44" bestFit="1" customWidth="1"/>
    <col min="7185" max="7424" width="9.140625" style="44"/>
    <col min="7425" max="7425" width="18.140625" style="44" bestFit="1" customWidth="1"/>
    <col min="7426" max="7426" width="9.5703125" style="44" customWidth="1"/>
    <col min="7427" max="7427" width="12.42578125" style="44" customWidth="1"/>
    <col min="7428" max="7436" width="9.28515625" style="44" bestFit="1" customWidth="1"/>
    <col min="7437" max="7439" width="9.140625" style="44"/>
    <col min="7440" max="7440" width="10.5703125" style="44" bestFit="1" customWidth="1"/>
    <col min="7441" max="7680" width="9.140625" style="44"/>
    <col min="7681" max="7681" width="18.140625" style="44" bestFit="1" customWidth="1"/>
    <col min="7682" max="7682" width="9.5703125" style="44" customWidth="1"/>
    <col min="7683" max="7683" width="12.42578125" style="44" customWidth="1"/>
    <col min="7684" max="7692" width="9.28515625" style="44" bestFit="1" customWidth="1"/>
    <col min="7693" max="7695" width="9.140625" style="44"/>
    <col min="7696" max="7696" width="10.5703125" style="44" bestFit="1" customWidth="1"/>
    <col min="7697" max="7936" width="9.140625" style="44"/>
    <col min="7937" max="7937" width="18.140625" style="44" bestFit="1" customWidth="1"/>
    <col min="7938" max="7938" width="9.5703125" style="44" customWidth="1"/>
    <col min="7939" max="7939" width="12.42578125" style="44" customWidth="1"/>
    <col min="7940" max="7948" width="9.28515625" style="44" bestFit="1" customWidth="1"/>
    <col min="7949" max="7951" width="9.140625" style="44"/>
    <col min="7952" max="7952" width="10.5703125" style="44" bestFit="1" customWidth="1"/>
    <col min="7953" max="8192" width="9.140625" style="44"/>
    <col min="8193" max="8193" width="18.140625" style="44" bestFit="1" customWidth="1"/>
    <col min="8194" max="8194" width="9.5703125" style="44" customWidth="1"/>
    <col min="8195" max="8195" width="12.42578125" style="44" customWidth="1"/>
    <col min="8196" max="8204" width="9.28515625" style="44" bestFit="1" customWidth="1"/>
    <col min="8205" max="8207" width="9.140625" style="44"/>
    <col min="8208" max="8208" width="10.5703125" style="44" bestFit="1" customWidth="1"/>
    <col min="8209" max="8448" width="9.140625" style="44"/>
    <col min="8449" max="8449" width="18.140625" style="44" bestFit="1" customWidth="1"/>
    <col min="8450" max="8450" width="9.5703125" style="44" customWidth="1"/>
    <col min="8451" max="8451" width="12.42578125" style="44" customWidth="1"/>
    <col min="8452" max="8460" width="9.28515625" style="44" bestFit="1" customWidth="1"/>
    <col min="8461" max="8463" width="9.140625" style="44"/>
    <col min="8464" max="8464" width="10.5703125" style="44" bestFit="1" customWidth="1"/>
    <col min="8465" max="8704" width="9.140625" style="44"/>
    <col min="8705" max="8705" width="18.140625" style="44" bestFit="1" customWidth="1"/>
    <col min="8706" max="8706" width="9.5703125" style="44" customWidth="1"/>
    <col min="8707" max="8707" width="12.42578125" style="44" customWidth="1"/>
    <col min="8708" max="8716" width="9.28515625" style="44" bestFit="1" customWidth="1"/>
    <col min="8717" max="8719" width="9.140625" style="44"/>
    <col min="8720" max="8720" width="10.5703125" style="44" bestFit="1" customWidth="1"/>
    <col min="8721" max="8960" width="9.140625" style="44"/>
    <col min="8961" max="8961" width="18.140625" style="44" bestFit="1" customWidth="1"/>
    <col min="8962" max="8962" width="9.5703125" style="44" customWidth="1"/>
    <col min="8963" max="8963" width="12.42578125" style="44" customWidth="1"/>
    <col min="8964" max="8972" width="9.28515625" style="44" bestFit="1" customWidth="1"/>
    <col min="8973" max="8975" width="9.140625" style="44"/>
    <col min="8976" max="8976" width="10.5703125" style="44" bestFit="1" customWidth="1"/>
    <col min="8977" max="9216" width="9.140625" style="44"/>
    <col min="9217" max="9217" width="18.140625" style="44" bestFit="1" customWidth="1"/>
    <col min="9218" max="9218" width="9.5703125" style="44" customWidth="1"/>
    <col min="9219" max="9219" width="12.42578125" style="44" customWidth="1"/>
    <col min="9220" max="9228" width="9.28515625" style="44" bestFit="1" customWidth="1"/>
    <col min="9229" max="9231" width="9.140625" style="44"/>
    <col min="9232" max="9232" width="10.5703125" style="44" bestFit="1" customWidth="1"/>
    <col min="9233" max="9472" width="9.140625" style="44"/>
    <col min="9473" max="9473" width="18.140625" style="44" bestFit="1" customWidth="1"/>
    <col min="9474" max="9474" width="9.5703125" style="44" customWidth="1"/>
    <col min="9475" max="9475" width="12.42578125" style="44" customWidth="1"/>
    <col min="9476" max="9484" width="9.28515625" style="44" bestFit="1" customWidth="1"/>
    <col min="9485" max="9487" width="9.140625" style="44"/>
    <col min="9488" max="9488" width="10.5703125" style="44" bestFit="1" customWidth="1"/>
    <col min="9489" max="9728" width="9.140625" style="44"/>
    <col min="9729" max="9729" width="18.140625" style="44" bestFit="1" customWidth="1"/>
    <col min="9730" max="9730" width="9.5703125" style="44" customWidth="1"/>
    <col min="9731" max="9731" width="12.42578125" style="44" customWidth="1"/>
    <col min="9732" max="9740" width="9.28515625" style="44" bestFit="1" customWidth="1"/>
    <col min="9741" max="9743" width="9.140625" style="44"/>
    <col min="9744" max="9744" width="10.5703125" style="44" bestFit="1" customWidth="1"/>
    <col min="9745" max="9984" width="9.140625" style="44"/>
    <col min="9985" max="9985" width="18.140625" style="44" bestFit="1" customWidth="1"/>
    <col min="9986" max="9986" width="9.5703125" style="44" customWidth="1"/>
    <col min="9987" max="9987" width="12.42578125" style="44" customWidth="1"/>
    <col min="9988" max="9996" width="9.28515625" style="44" bestFit="1" customWidth="1"/>
    <col min="9997" max="9999" width="9.140625" style="44"/>
    <col min="10000" max="10000" width="10.5703125" style="44" bestFit="1" customWidth="1"/>
    <col min="10001" max="10240" width="9.140625" style="44"/>
    <col min="10241" max="10241" width="18.140625" style="44" bestFit="1" customWidth="1"/>
    <col min="10242" max="10242" width="9.5703125" style="44" customWidth="1"/>
    <col min="10243" max="10243" width="12.42578125" style="44" customWidth="1"/>
    <col min="10244" max="10252" width="9.28515625" style="44" bestFit="1" customWidth="1"/>
    <col min="10253" max="10255" width="9.140625" style="44"/>
    <col min="10256" max="10256" width="10.5703125" style="44" bestFit="1" customWidth="1"/>
    <col min="10257" max="10496" width="9.140625" style="44"/>
    <col min="10497" max="10497" width="18.140625" style="44" bestFit="1" customWidth="1"/>
    <col min="10498" max="10498" width="9.5703125" style="44" customWidth="1"/>
    <col min="10499" max="10499" width="12.42578125" style="44" customWidth="1"/>
    <col min="10500" max="10508" width="9.28515625" style="44" bestFit="1" customWidth="1"/>
    <col min="10509" max="10511" width="9.140625" style="44"/>
    <col min="10512" max="10512" width="10.5703125" style="44" bestFit="1" customWidth="1"/>
    <col min="10513" max="10752" width="9.140625" style="44"/>
    <col min="10753" max="10753" width="18.140625" style="44" bestFit="1" customWidth="1"/>
    <col min="10754" max="10754" width="9.5703125" style="44" customWidth="1"/>
    <col min="10755" max="10755" width="12.42578125" style="44" customWidth="1"/>
    <col min="10756" max="10764" width="9.28515625" style="44" bestFit="1" customWidth="1"/>
    <col min="10765" max="10767" width="9.140625" style="44"/>
    <col min="10768" max="10768" width="10.5703125" style="44" bestFit="1" customWidth="1"/>
    <col min="10769" max="11008" width="9.140625" style="44"/>
    <col min="11009" max="11009" width="18.140625" style="44" bestFit="1" customWidth="1"/>
    <col min="11010" max="11010" width="9.5703125" style="44" customWidth="1"/>
    <col min="11011" max="11011" width="12.42578125" style="44" customWidth="1"/>
    <col min="11012" max="11020" width="9.28515625" style="44" bestFit="1" customWidth="1"/>
    <col min="11021" max="11023" width="9.140625" style="44"/>
    <col min="11024" max="11024" width="10.5703125" style="44" bestFit="1" customWidth="1"/>
    <col min="11025" max="11264" width="9.140625" style="44"/>
    <col min="11265" max="11265" width="18.140625" style="44" bestFit="1" customWidth="1"/>
    <col min="11266" max="11266" width="9.5703125" style="44" customWidth="1"/>
    <col min="11267" max="11267" width="12.42578125" style="44" customWidth="1"/>
    <col min="11268" max="11276" width="9.28515625" style="44" bestFit="1" customWidth="1"/>
    <col min="11277" max="11279" width="9.140625" style="44"/>
    <col min="11280" max="11280" width="10.5703125" style="44" bestFit="1" customWidth="1"/>
    <col min="11281" max="11520" width="9.140625" style="44"/>
    <col min="11521" max="11521" width="18.140625" style="44" bestFit="1" customWidth="1"/>
    <col min="11522" max="11522" width="9.5703125" style="44" customWidth="1"/>
    <col min="11523" max="11523" width="12.42578125" style="44" customWidth="1"/>
    <col min="11524" max="11532" width="9.28515625" style="44" bestFit="1" customWidth="1"/>
    <col min="11533" max="11535" width="9.140625" style="44"/>
    <col min="11536" max="11536" width="10.5703125" style="44" bestFit="1" customWidth="1"/>
    <col min="11537" max="11776" width="9.140625" style="44"/>
    <col min="11777" max="11777" width="18.140625" style="44" bestFit="1" customWidth="1"/>
    <col min="11778" max="11778" width="9.5703125" style="44" customWidth="1"/>
    <col min="11779" max="11779" width="12.42578125" style="44" customWidth="1"/>
    <col min="11780" max="11788" width="9.28515625" style="44" bestFit="1" customWidth="1"/>
    <col min="11789" max="11791" width="9.140625" style="44"/>
    <col min="11792" max="11792" width="10.5703125" style="44" bestFit="1" customWidth="1"/>
    <col min="11793" max="12032" width="9.140625" style="44"/>
    <col min="12033" max="12033" width="18.140625" style="44" bestFit="1" customWidth="1"/>
    <col min="12034" max="12034" width="9.5703125" style="44" customWidth="1"/>
    <col min="12035" max="12035" width="12.42578125" style="44" customWidth="1"/>
    <col min="12036" max="12044" width="9.28515625" style="44" bestFit="1" customWidth="1"/>
    <col min="12045" max="12047" width="9.140625" style="44"/>
    <col min="12048" max="12048" width="10.5703125" style="44" bestFit="1" customWidth="1"/>
    <col min="12049" max="12288" width="9.140625" style="44"/>
    <col min="12289" max="12289" width="18.140625" style="44" bestFit="1" customWidth="1"/>
    <col min="12290" max="12290" width="9.5703125" style="44" customWidth="1"/>
    <col min="12291" max="12291" width="12.42578125" style="44" customWidth="1"/>
    <col min="12292" max="12300" width="9.28515625" style="44" bestFit="1" customWidth="1"/>
    <col min="12301" max="12303" width="9.140625" style="44"/>
    <col min="12304" max="12304" width="10.5703125" style="44" bestFit="1" customWidth="1"/>
    <col min="12305" max="12544" width="9.140625" style="44"/>
    <col min="12545" max="12545" width="18.140625" style="44" bestFit="1" customWidth="1"/>
    <col min="12546" max="12546" width="9.5703125" style="44" customWidth="1"/>
    <col min="12547" max="12547" width="12.42578125" style="44" customWidth="1"/>
    <col min="12548" max="12556" width="9.28515625" style="44" bestFit="1" customWidth="1"/>
    <col min="12557" max="12559" width="9.140625" style="44"/>
    <col min="12560" max="12560" width="10.5703125" style="44" bestFit="1" customWidth="1"/>
    <col min="12561" max="12800" width="9.140625" style="44"/>
    <col min="12801" max="12801" width="18.140625" style="44" bestFit="1" customWidth="1"/>
    <col min="12802" max="12802" width="9.5703125" style="44" customWidth="1"/>
    <col min="12803" max="12803" width="12.42578125" style="44" customWidth="1"/>
    <col min="12804" max="12812" width="9.28515625" style="44" bestFit="1" customWidth="1"/>
    <col min="12813" max="12815" width="9.140625" style="44"/>
    <col min="12816" max="12816" width="10.5703125" style="44" bestFit="1" customWidth="1"/>
    <col min="12817" max="13056" width="9.140625" style="44"/>
    <col min="13057" max="13057" width="18.140625" style="44" bestFit="1" customWidth="1"/>
    <col min="13058" max="13058" width="9.5703125" style="44" customWidth="1"/>
    <col min="13059" max="13059" width="12.42578125" style="44" customWidth="1"/>
    <col min="13060" max="13068" width="9.28515625" style="44" bestFit="1" customWidth="1"/>
    <col min="13069" max="13071" width="9.140625" style="44"/>
    <col min="13072" max="13072" width="10.5703125" style="44" bestFit="1" customWidth="1"/>
    <col min="13073" max="13312" width="9.140625" style="44"/>
    <col min="13313" max="13313" width="18.140625" style="44" bestFit="1" customWidth="1"/>
    <col min="13314" max="13314" width="9.5703125" style="44" customWidth="1"/>
    <col min="13315" max="13315" width="12.42578125" style="44" customWidth="1"/>
    <col min="13316" max="13324" width="9.28515625" style="44" bestFit="1" customWidth="1"/>
    <col min="13325" max="13327" width="9.140625" style="44"/>
    <col min="13328" max="13328" width="10.5703125" style="44" bestFit="1" customWidth="1"/>
    <col min="13329" max="13568" width="9.140625" style="44"/>
    <col min="13569" max="13569" width="18.140625" style="44" bestFit="1" customWidth="1"/>
    <col min="13570" max="13570" width="9.5703125" style="44" customWidth="1"/>
    <col min="13571" max="13571" width="12.42578125" style="44" customWidth="1"/>
    <col min="13572" max="13580" width="9.28515625" style="44" bestFit="1" customWidth="1"/>
    <col min="13581" max="13583" width="9.140625" style="44"/>
    <col min="13584" max="13584" width="10.5703125" style="44" bestFit="1" customWidth="1"/>
    <col min="13585" max="13824" width="9.140625" style="44"/>
    <col min="13825" max="13825" width="18.140625" style="44" bestFit="1" customWidth="1"/>
    <col min="13826" max="13826" width="9.5703125" style="44" customWidth="1"/>
    <col min="13827" max="13827" width="12.42578125" style="44" customWidth="1"/>
    <col min="13828" max="13836" width="9.28515625" style="44" bestFit="1" customWidth="1"/>
    <col min="13837" max="13839" width="9.140625" style="44"/>
    <col min="13840" max="13840" width="10.5703125" style="44" bestFit="1" customWidth="1"/>
    <col min="13841" max="14080" width="9.140625" style="44"/>
    <col min="14081" max="14081" width="18.140625" style="44" bestFit="1" customWidth="1"/>
    <col min="14082" max="14082" width="9.5703125" style="44" customWidth="1"/>
    <col min="14083" max="14083" width="12.42578125" style="44" customWidth="1"/>
    <col min="14084" max="14092" width="9.28515625" style="44" bestFit="1" customWidth="1"/>
    <col min="14093" max="14095" width="9.140625" style="44"/>
    <col min="14096" max="14096" width="10.5703125" style="44" bestFit="1" customWidth="1"/>
    <col min="14097" max="14336" width="9.140625" style="44"/>
    <col min="14337" max="14337" width="18.140625" style="44" bestFit="1" customWidth="1"/>
    <col min="14338" max="14338" width="9.5703125" style="44" customWidth="1"/>
    <col min="14339" max="14339" width="12.42578125" style="44" customWidth="1"/>
    <col min="14340" max="14348" width="9.28515625" style="44" bestFit="1" customWidth="1"/>
    <col min="14349" max="14351" width="9.140625" style="44"/>
    <col min="14352" max="14352" width="10.5703125" style="44" bestFit="1" customWidth="1"/>
    <col min="14353" max="14592" width="9.140625" style="44"/>
    <col min="14593" max="14593" width="18.140625" style="44" bestFit="1" customWidth="1"/>
    <col min="14594" max="14594" width="9.5703125" style="44" customWidth="1"/>
    <col min="14595" max="14595" width="12.42578125" style="44" customWidth="1"/>
    <col min="14596" max="14604" width="9.28515625" style="44" bestFit="1" customWidth="1"/>
    <col min="14605" max="14607" width="9.140625" style="44"/>
    <col min="14608" max="14608" width="10.5703125" style="44" bestFit="1" customWidth="1"/>
    <col min="14609" max="14848" width="9.140625" style="44"/>
    <col min="14849" max="14849" width="18.140625" style="44" bestFit="1" customWidth="1"/>
    <col min="14850" max="14850" width="9.5703125" style="44" customWidth="1"/>
    <col min="14851" max="14851" width="12.42578125" style="44" customWidth="1"/>
    <col min="14852" max="14860" width="9.28515625" style="44" bestFit="1" customWidth="1"/>
    <col min="14861" max="14863" width="9.140625" style="44"/>
    <col min="14864" max="14864" width="10.5703125" style="44" bestFit="1" customWidth="1"/>
    <col min="14865" max="15104" width="9.140625" style="44"/>
    <col min="15105" max="15105" width="18.140625" style="44" bestFit="1" customWidth="1"/>
    <col min="15106" max="15106" width="9.5703125" style="44" customWidth="1"/>
    <col min="15107" max="15107" width="12.42578125" style="44" customWidth="1"/>
    <col min="15108" max="15116" width="9.28515625" style="44" bestFit="1" customWidth="1"/>
    <col min="15117" max="15119" width="9.140625" style="44"/>
    <col min="15120" max="15120" width="10.5703125" style="44" bestFit="1" customWidth="1"/>
    <col min="15121" max="15360" width="9.140625" style="44"/>
    <col min="15361" max="15361" width="18.140625" style="44" bestFit="1" customWidth="1"/>
    <col min="15362" max="15362" width="9.5703125" style="44" customWidth="1"/>
    <col min="15363" max="15363" width="12.42578125" style="44" customWidth="1"/>
    <col min="15364" max="15372" width="9.28515625" style="44" bestFit="1" customWidth="1"/>
    <col min="15373" max="15375" width="9.140625" style="44"/>
    <col min="15376" max="15376" width="10.5703125" style="44" bestFit="1" customWidth="1"/>
    <col min="15377" max="15616" width="9.140625" style="44"/>
    <col min="15617" max="15617" width="18.140625" style="44" bestFit="1" customWidth="1"/>
    <col min="15618" max="15618" width="9.5703125" style="44" customWidth="1"/>
    <col min="15619" max="15619" width="12.42578125" style="44" customWidth="1"/>
    <col min="15620" max="15628" width="9.28515625" style="44" bestFit="1" customWidth="1"/>
    <col min="15629" max="15631" width="9.140625" style="44"/>
    <col min="15632" max="15632" width="10.5703125" style="44" bestFit="1" customWidth="1"/>
    <col min="15633" max="15872" width="9.140625" style="44"/>
    <col min="15873" max="15873" width="18.140625" style="44" bestFit="1" customWidth="1"/>
    <col min="15874" max="15874" width="9.5703125" style="44" customWidth="1"/>
    <col min="15875" max="15875" width="12.42578125" style="44" customWidth="1"/>
    <col min="15876" max="15884" width="9.28515625" style="44" bestFit="1" customWidth="1"/>
    <col min="15885" max="15887" width="9.140625" style="44"/>
    <col min="15888" max="15888" width="10.5703125" style="44" bestFit="1" customWidth="1"/>
    <col min="15889" max="16128" width="9.140625" style="44"/>
    <col min="16129" max="16129" width="18.140625" style="44" bestFit="1" customWidth="1"/>
    <col min="16130" max="16130" width="9.5703125" style="44" customWidth="1"/>
    <col min="16131" max="16131" width="12.42578125" style="44" customWidth="1"/>
    <col min="16132" max="16140" width="9.28515625" style="44" bestFit="1" customWidth="1"/>
    <col min="16141" max="16143" width="9.140625" style="44"/>
    <col min="16144" max="16144" width="10.5703125" style="44" bestFit="1" customWidth="1"/>
    <col min="16145" max="16384" width="9.140625" style="44"/>
  </cols>
  <sheetData>
    <row r="1" spans="1:20">
      <c r="A1" s="41">
        <f>Option_Chain_Input!E3</f>
        <v>44924</v>
      </c>
      <c r="B1" s="42" t="str">
        <f>Option_Chain_Input!E2</f>
        <v>ITC</v>
      </c>
      <c r="C1" s="43">
        <f>A1+(15.5/24)</f>
        <v>44924.645833333336</v>
      </c>
      <c r="D1" s="43">
        <f ca="1">NOW()</f>
        <v>44893.476027083336</v>
      </c>
      <c r="L1" s="45"/>
      <c r="N1" s="46" t="s">
        <v>310</v>
      </c>
      <c r="O1" s="46"/>
      <c r="P1" s="46"/>
    </row>
    <row r="2" spans="1:20">
      <c r="A2" s="47"/>
      <c r="B2" s="48" t="s">
        <v>311</v>
      </c>
      <c r="C2" s="48" t="s">
        <v>312</v>
      </c>
      <c r="D2" s="48" t="s">
        <v>313</v>
      </c>
      <c r="E2" s="48" t="s">
        <v>314</v>
      </c>
      <c r="F2" s="48" t="s">
        <v>315</v>
      </c>
      <c r="G2" s="48" t="s">
        <v>316</v>
      </c>
      <c r="H2" s="48" t="s">
        <v>317</v>
      </c>
      <c r="I2" s="48" t="s">
        <v>318</v>
      </c>
      <c r="J2" s="48" t="s">
        <v>319</v>
      </c>
      <c r="K2" s="48" t="s">
        <v>320</v>
      </c>
      <c r="L2" s="49" t="s">
        <v>321</v>
      </c>
      <c r="N2" s="50"/>
      <c r="O2" s="51" t="s">
        <v>322</v>
      </c>
      <c r="P2" s="52">
        <f>Option_Chain_Input!I2</f>
        <v>340.3</v>
      </c>
    </row>
    <row r="3" spans="1:20" ht="15.75" thickBot="1">
      <c r="A3" s="53" t="s">
        <v>279</v>
      </c>
      <c r="B3" s="54">
        <f t="shared" ref="B3:K3" si="0">$C$1</f>
        <v>44924.645833333336</v>
      </c>
      <c r="C3" s="54">
        <f t="shared" si="0"/>
        <v>44924.645833333336</v>
      </c>
      <c r="D3" s="54">
        <f t="shared" si="0"/>
        <v>44924.645833333336</v>
      </c>
      <c r="E3" s="54">
        <f t="shared" si="0"/>
        <v>44924.645833333336</v>
      </c>
      <c r="F3" s="54">
        <f t="shared" si="0"/>
        <v>44924.645833333336</v>
      </c>
      <c r="G3" s="54">
        <f t="shared" si="0"/>
        <v>44924.645833333336</v>
      </c>
      <c r="H3" s="54">
        <f t="shared" si="0"/>
        <v>44924.645833333336</v>
      </c>
      <c r="I3" s="54">
        <f t="shared" si="0"/>
        <v>44924.645833333336</v>
      </c>
      <c r="J3" s="54">
        <f t="shared" si="0"/>
        <v>44924.645833333336</v>
      </c>
      <c r="K3" s="54">
        <f t="shared" si="0"/>
        <v>44924.645833333336</v>
      </c>
      <c r="L3" s="55"/>
      <c r="N3" s="56"/>
      <c r="O3" s="57" t="s">
        <v>323</v>
      </c>
      <c r="P3" s="58">
        <v>0</v>
      </c>
    </row>
    <row r="4" spans="1:20">
      <c r="A4" s="53" t="s">
        <v>324</v>
      </c>
      <c r="B4" s="59">
        <v>0</v>
      </c>
      <c r="C4" s="60">
        <v>0</v>
      </c>
      <c r="D4" s="60">
        <v>1</v>
      </c>
      <c r="E4" s="60">
        <v>-2</v>
      </c>
      <c r="F4" s="61">
        <v>1</v>
      </c>
      <c r="G4" s="60">
        <v>1</v>
      </c>
      <c r="H4" s="60">
        <v>-2</v>
      </c>
      <c r="I4" s="60">
        <v>1</v>
      </c>
      <c r="J4" s="60">
        <v>0</v>
      </c>
      <c r="K4" s="62">
        <v>0</v>
      </c>
      <c r="L4" s="55"/>
      <c r="N4" s="56"/>
      <c r="O4" s="63" t="s">
        <v>325</v>
      </c>
      <c r="P4" s="64">
        <v>1</v>
      </c>
    </row>
    <row r="5" spans="1:20">
      <c r="A5" s="57" t="s">
        <v>326</v>
      </c>
      <c r="B5" s="65" t="s">
        <v>327</v>
      </c>
      <c r="C5" s="65" t="s">
        <v>327</v>
      </c>
      <c r="D5" s="65" t="s">
        <v>328</v>
      </c>
      <c r="E5" s="65" t="s">
        <v>328</v>
      </c>
      <c r="F5" s="65" t="s">
        <v>328</v>
      </c>
      <c r="G5" s="65" t="s">
        <v>327</v>
      </c>
      <c r="H5" s="65" t="s">
        <v>327</v>
      </c>
      <c r="I5" s="65" t="s">
        <v>327</v>
      </c>
      <c r="J5" s="65" t="s">
        <v>327</v>
      </c>
      <c r="K5" s="65" t="s">
        <v>327</v>
      </c>
      <c r="L5" s="55"/>
      <c r="N5" s="56"/>
      <c r="O5" s="57" t="s">
        <v>329</v>
      </c>
      <c r="P5" s="66">
        <v>0.1</v>
      </c>
    </row>
    <row r="6" spans="1:20" ht="15.75" thickBot="1">
      <c r="A6" s="53" t="s">
        <v>330</v>
      </c>
      <c r="B6" s="67">
        <v>41600</v>
      </c>
      <c r="C6" s="68">
        <v>41600</v>
      </c>
      <c r="D6" s="69">
        <v>41600</v>
      </c>
      <c r="E6" s="68">
        <v>41800</v>
      </c>
      <c r="F6" s="69">
        <v>42000</v>
      </c>
      <c r="G6" s="68">
        <v>42000</v>
      </c>
      <c r="H6" s="68">
        <v>42200</v>
      </c>
      <c r="I6" s="69">
        <v>42400</v>
      </c>
      <c r="J6" s="68">
        <v>42400</v>
      </c>
      <c r="K6" s="70">
        <v>42400</v>
      </c>
      <c r="L6" s="55"/>
      <c r="N6" s="56"/>
      <c r="O6" s="57" t="s">
        <v>331</v>
      </c>
      <c r="P6" s="66">
        <v>0</v>
      </c>
    </row>
    <row r="7" spans="1:20">
      <c r="A7" s="71" t="s">
        <v>332</v>
      </c>
      <c r="B7" s="72">
        <f>IF(B5="Call",VLOOKUP(B6,$P$15:$T$33,4),IF(B5="Put",VLOOKUP(B6,$P$15:$T$33,5),""))</f>
        <v>0</v>
      </c>
      <c r="C7" s="72">
        <f t="shared" ref="C7:K7" si="1">IF(C5="Call",VLOOKUP(C6,$P$15:$T$33,4),IF(C5="Put",VLOOKUP(C6,$P$15:$T$33,5),""))</f>
        <v>0</v>
      </c>
      <c r="D7" s="72">
        <f t="shared" si="1"/>
        <v>0</v>
      </c>
      <c r="E7" s="72">
        <f t="shared" si="1"/>
        <v>0</v>
      </c>
      <c r="F7" s="72">
        <f t="shared" si="1"/>
        <v>0</v>
      </c>
      <c r="G7" s="72">
        <f t="shared" si="1"/>
        <v>0</v>
      </c>
      <c r="H7" s="72">
        <f t="shared" si="1"/>
        <v>0</v>
      </c>
      <c r="I7" s="72">
        <f t="shared" si="1"/>
        <v>0</v>
      </c>
      <c r="J7" s="72">
        <f t="shared" si="1"/>
        <v>0</v>
      </c>
      <c r="K7" s="72">
        <f t="shared" si="1"/>
        <v>0</v>
      </c>
      <c r="L7" s="55"/>
      <c r="N7" s="56"/>
      <c r="O7" s="57" t="s">
        <v>333</v>
      </c>
      <c r="P7" s="73">
        <v>100</v>
      </c>
    </row>
    <row r="8" spans="1:20">
      <c r="A8" s="71" t="s">
        <v>334</v>
      </c>
      <c r="B8" s="74">
        <f t="shared" ref="B8:K8" ca="1" si="2">OTW_IV(B5,$P$2,B6,(B3-$P$8)/365,$P$5,B7,$P$6)</f>
        <v>0.43682098388671875</v>
      </c>
      <c r="C8" s="75">
        <f t="shared" ca="1" si="2"/>
        <v>0.43682098388671875</v>
      </c>
      <c r="D8" s="75">
        <f t="shared" ca="1" si="2"/>
        <v>3.814697265625E-5</v>
      </c>
      <c r="E8" s="75">
        <f t="shared" ca="1" si="2"/>
        <v>3.814697265625E-5</v>
      </c>
      <c r="F8" s="75">
        <f t="shared" ca="1" si="2"/>
        <v>3.814697265625E-5</v>
      </c>
      <c r="G8" s="75">
        <f ca="1">OTW_IV(G5,$P$2,G6,(G3-$P$8)/365,$P$5,G7,$P$6)</f>
        <v>0.43766021728515625</v>
      </c>
      <c r="H8" s="75">
        <f t="shared" ca="1" si="2"/>
        <v>0.43811798095703125</v>
      </c>
      <c r="I8" s="75">
        <f t="shared" ca="1" si="2"/>
        <v>0.43857574462890625</v>
      </c>
      <c r="J8" s="75">
        <f t="shared" ca="1" si="2"/>
        <v>0.43857574462890625</v>
      </c>
      <c r="K8" s="76">
        <f t="shared" ca="1" si="2"/>
        <v>0.43857574462890625</v>
      </c>
      <c r="L8" s="55"/>
      <c r="M8" s="77"/>
      <c r="N8" s="56"/>
      <c r="O8" s="57" t="s">
        <v>335</v>
      </c>
      <c r="P8" s="78">
        <f ca="1">D1</f>
        <v>44893.476027083336</v>
      </c>
    </row>
    <row r="9" spans="1:20">
      <c r="A9" s="53" t="s">
        <v>336</v>
      </c>
      <c r="B9" s="79">
        <f>IF(B5="Call",VLOOKUP(B6,$P$15:$T$33,2)/100,IF(B5="Put",VLOOKUP(B6,$P$15:$T$33,3)/100,""))</f>
        <v>0</v>
      </c>
      <c r="C9" s="79">
        <f t="shared" ref="C9:K9" si="3">IF(C5="Call",VLOOKUP(C6,$P$15:$T$33,2)/100,IF(C5="Put",VLOOKUP(C6,$P$15:$T$33,3)/100,""))</f>
        <v>0</v>
      </c>
      <c r="D9" s="79">
        <f t="shared" si="3"/>
        <v>0</v>
      </c>
      <c r="E9" s="79">
        <f t="shared" si="3"/>
        <v>0</v>
      </c>
      <c r="F9" s="79">
        <f t="shared" si="3"/>
        <v>0</v>
      </c>
      <c r="G9" s="79">
        <f t="shared" si="3"/>
        <v>0</v>
      </c>
      <c r="H9" s="79">
        <f t="shared" si="3"/>
        <v>0</v>
      </c>
      <c r="I9" s="79">
        <f t="shared" si="3"/>
        <v>0</v>
      </c>
      <c r="J9" s="79">
        <f t="shared" si="3"/>
        <v>0</v>
      </c>
      <c r="K9" s="79">
        <f t="shared" si="3"/>
        <v>0</v>
      </c>
      <c r="L9" s="80"/>
      <c r="N9" s="81"/>
      <c r="O9" s="81"/>
      <c r="P9" s="81"/>
      <c r="Q9" s="81"/>
    </row>
    <row r="10" spans="1:20">
      <c r="A10" s="71" t="s">
        <v>337</v>
      </c>
      <c r="B10" s="82" t="e">
        <f ca="1">OTW_BlackScholes(B5,"p",$P$2,B6,(B3-$P$8)/365,$P$5,B9,$P$6)</f>
        <v>#VALUE!</v>
      </c>
      <c r="C10" s="82" t="e">
        <f ca="1">OTW_BlackScholes(C5,"p",$P$2,C6,(C3-$P$8)/365,$P$5,C9,$P$6)</f>
        <v>#VALUE!</v>
      </c>
      <c r="D10" s="82" t="e">
        <f ca="1">OTW_BlackScholes(D5,"p",$P$2,D6,(D3-$P$8)/365,$P$5,D9,$P$6)</f>
        <v>#VALUE!</v>
      </c>
      <c r="E10" s="82" t="e">
        <f t="shared" ref="E10:K10" ca="1" si="4">OTW_BlackScholes(E5,"p",$P$2,E6,(E3-$P$8)/365,$P$5,E9,$P$6)</f>
        <v>#VALUE!</v>
      </c>
      <c r="F10" s="82" t="e">
        <f t="shared" ca="1" si="4"/>
        <v>#VALUE!</v>
      </c>
      <c r="G10" s="82" t="e">
        <f t="shared" ca="1" si="4"/>
        <v>#VALUE!</v>
      </c>
      <c r="H10" s="82" t="e">
        <f t="shared" ca="1" si="4"/>
        <v>#VALUE!</v>
      </c>
      <c r="I10" s="82" t="e">
        <f t="shared" ca="1" si="4"/>
        <v>#VALUE!</v>
      </c>
      <c r="J10" s="82" t="e">
        <f t="shared" ca="1" si="4"/>
        <v>#VALUE!</v>
      </c>
      <c r="K10" s="83" t="e">
        <f t="shared" ca="1" si="4"/>
        <v>#VALUE!</v>
      </c>
      <c r="L10" s="55"/>
    </row>
    <row r="11" spans="1:20">
      <c r="A11" s="84" t="s">
        <v>338</v>
      </c>
      <c r="B11" s="85">
        <f t="shared" ref="B11:K11" si="5">IF(ISBLANK(B7),B10,B7)</f>
        <v>0</v>
      </c>
      <c r="C11" s="86">
        <f t="shared" si="5"/>
        <v>0</v>
      </c>
      <c r="D11" s="86">
        <f t="shared" si="5"/>
        <v>0</v>
      </c>
      <c r="E11" s="86">
        <f t="shared" si="5"/>
        <v>0</v>
      </c>
      <c r="F11" s="86">
        <f t="shared" si="5"/>
        <v>0</v>
      </c>
      <c r="G11" s="86">
        <f t="shared" si="5"/>
        <v>0</v>
      </c>
      <c r="H11" s="86">
        <f t="shared" si="5"/>
        <v>0</v>
      </c>
      <c r="I11" s="86">
        <f t="shared" si="5"/>
        <v>0</v>
      </c>
      <c r="J11" s="86">
        <f t="shared" si="5"/>
        <v>0</v>
      </c>
      <c r="K11" s="87">
        <f t="shared" si="5"/>
        <v>0</v>
      </c>
      <c r="L11" s="88">
        <f>SUMPRODUCT(B11:K11,B4:K4)*P4</f>
        <v>0</v>
      </c>
      <c r="M11" s="44" t="s">
        <v>339</v>
      </c>
    </row>
    <row r="12" spans="1:20">
      <c r="A12" s="89" t="s">
        <v>282</v>
      </c>
      <c r="B12" s="90" t="e">
        <f t="shared" ref="B12:K12" ca="1" si="6">IF(ISBLANK(B5),0,IF(LEFT(B5,1)="s",1*B4,OTW_BlackScholes(B5,"d",$P$2,B6,(B3-$P$8)/365,$P$5,B9,$P$6)*B4))</f>
        <v>#VALUE!</v>
      </c>
      <c r="C12" s="91" t="e">
        <f t="shared" ca="1" si="6"/>
        <v>#VALUE!</v>
      </c>
      <c r="D12" s="91" t="e">
        <f t="shared" ca="1" si="6"/>
        <v>#VALUE!</v>
      </c>
      <c r="E12" s="91" t="e">
        <f t="shared" ca="1" si="6"/>
        <v>#VALUE!</v>
      </c>
      <c r="F12" s="91" t="e">
        <f t="shared" ca="1" si="6"/>
        <v>#VALUE!</v>
      </c>
      <c r="G12" s="91" t="e">
        <f t="shared" ca="1" si="6"/>
        <v>#VALUE!</v>
      </c>
      <c r="H12" s="91" t="e">
        <f t="shared" ca="1" si="6"/>
        <v>#VALUE!</v>
      </c>
      <c r="I12" s="91" t="e">
        <f t="shared" ca="1" si="6"/>
        <v>#VALUE!</v>
      </c>
      <c r="J12" s="91" t="e">
        <f t="shared" ca="1" si="6"/>
        <v>#VALUE!</v>
      </c>
      <c r="K12" s="92" t="e">
        <f t="shared" ca="1" si="6"/>
        <v>#VALUE!</v>
      </c>
      <c r="L12" s="93" t="e">
        <f ca="1">SUM(B12:K12)</f>
        <v>#VALUE!</v>
      </c>
      <c r="M12" s="44" t="s">
        <v>340</v>
      </c>
    </row>
    <row r="13" spans="1:20">
      <c r="A13" s="71" t="s">
        <v>341</v>
      </c>
      <c r="B13" s="90" t="e">
        <f t="shared" ref="B13:K13" ca="1" si="7">IF(ISBLANK(B5),0,IF(LEFT(B5,1)="s",0,OTW_BlackScholes(B5,"g",$P$2,B6,(B3-$P$8)/365,$P$5,B9,$P$6)*B4))</f>
        <v>#VALUE!</v>
      </c>
      <c r="C13" s="91" t="e">
        <f t="shared" ca="1" si="7"/>
        <v>#VALUE!</v>
      </c>
      <c r="D13" s="91" t="e">
        <f t="shared" ca="1" si="7"/>
        <v>#VALUE!</v>
      </c>
      <c r="E13" s="91" t="e">
        <f t="shared" ca="1" si="7"/>
        <v>#VALUE!</v>
      </c>
      <c r="F13" s="91" t="e">
        <f t="shared" ca="1" si="7"/>
        <v>#VALUE!</v>
      </c>
      <c r="G13" s="91" t="e">
        <f t="shared" ca="1" si="7"/>
        <v>#VALUE!</v>
      </c>
      <c r="H13" s="91" t="e">
        <f t="shared" ca="1" si="7"/>
        <v>#VALUE!</v>
      </c>
      <c r="I13" s="91" t="e">
        <f t="shared" ca="1" si="7"/>
        <v>#VALUE!</v>
      </c>
      <c r="J13" s="91" t="e">
        <f t="shared" ca="1" si="7"/>
        <v>#VALUE!</v>
      </c>
      <c r="K13" s="92" t="e">
        <f t="shared" ca="1" si="7"/>
        <v>#VALUE!</v>
      </c>
      <c r="L13" s="93" t="e">
        <f ca="1">SUM(B13:K13)</f>
        <v>#VALUE!</v>
      </c>
      <c r="M13" s="44" t="s">
        <v>342</v>
      </c>
    </row>
    <row r="14" spans="1:20">
      <c r="A14" s="71" t="s">
        <v>343</v>
      </c>
      <c r="B14" s="90" t="e">
        <f t="shared" ref="B14:K14" ca="1" si="8">IF(ISBLANK(B5),0,IF(LEFT(B5,1)="s",0,OTW_BlackScholes(B5,"t",$P$2,B6,(B3-$P$8)/365,$P$5,B9,$P$6)*B4))</f>
        <v>#VALUE!</v>
      </c>
      <c r="C14" s="91" t="e">
        <f t="shared" ca="1" si="8"/>
        <v>#VALUE!</v>
      </c>
      <c r="D14" s="91" t="e">
        <f t="shared" ca="1" si="8"/>
        <v>#VALUE!</v>
      </c>
      <c r="E14" s="91" t="e">
        <f t="shared" ca="1" si="8"/>
        <v>#VALUE!</v>
      </c>
      <c r="F14" s="91" t="e">
        <f t="shared" ca="1" si="8"/>
        <v>#VALUE!</v>
      </c>
      <c r="G14" s="91" t="e">
        <f t="shared" ca="1" si="8"/>
        <v>#VALUE!</v>
      </c>
      <c r="H14" s="91" t="e">
        <f t="shared" ca="1" si="8"/>
        <v>#VALUE!</v>
      </c>
      <c r="I14" s="91" t="e">
        <f t="shared" ca="1" si="8"/>
        <v>#VALUE!</v>
      </c>
      <c r="J14" s="91" t="e">
        <f t="shared" ca="1" si="8"/>
        <v>#VALUE!</v>
      </c>
      <c r="K14" s="92" t="e">
        <f t="shared" ca="1" si="8"/>
        <v>#VALUE!</v>
      </c>
      <c r="L14" s="93" t="e">
        <f ca="1">SUM(B14:K14)</f>
        <v>#VALUE!</v>
      </c>
      <c r="M14" s="44" t="s">
        <v>344</v>
      </c>
      <c r="P14" s="44" t="s">
        <v>345</v>
      </c>
      <c r="Q14" s="44" t="s">
        <v>346</v>
      </c>
      <c r="R14" s="44" t="s">
        <v>347</v>
      </c>
    </row>
    <row r="15" spans="1:20" ht="15.75" thickBot="1">
      <c r="A15" s="71" t="s">
        <v>348</v>
      </c>
      <c r="B15" s="90" t="e">
        <f t="shared" ref="B15:K15" ca="1" si="9">IF(ISBLANK(B5),0,IF(LEFT(B5,1)="s",0,OTW_BlackScholes(B5,"v",$P$2,B6,(B3-$P$8)/365,$P$5,B9,$P$6)*B4))</f>
        <v>#VALUE!</v>
      </c>
      <c r="C15" s="91" t="e">
        <f t="shared" ca="1" si="9"/>
        <v>#VALUE!</v>
      </c>
      <c r="D15" s="91" t="e">
        <f t="shared" ca="1" si="9"/>
        <v>#VALUE!</v>
      </c>
      <c r="E15" s="91" t="e">
        <f t="shared" ca="1" si="9"/>
        <v>#VALUE!</v>
      </c>
      <c r="F15" s="91" t="e">
        <f t="shared" ca="1" si="9"/>
        <v>#VALUE!</v>
      </c>
      <c r="G15" s="91" t="e">
        <f t="shared" ca="1" si="9"/>
        <v>#VALUE!</v>
      </c>
      <c r="H15" s="91" t="e">
        <f t="shared" ca="1" si="9"/>
        <v>#VALUE!</v>
      </c>
      <c r="I15" s="91" t="e">
        <f t="shared" ca="1" si="9"/>
        <v>#VALUE!</v>
      </c>
      <c r="J15" s="91" t="e">
        <f t="shared" ca="1" si="9"/>
        <v>#VALUE!</v>
      </c>
      <c r="K15" s="92" t="e">
        <f t="shared" ca="1" si="9"/>
        <v>#VALUE!</v>
      </c>
      <c r="L15" s="93" t="e">
        <f ca="1">SUM(B15:K15)</f>
        <v>#VALUE!</v>
      </c>
      <c r="M15" s="44" t="s">
        <v>349</v>
      </c>
      <c r="P15" s="94">
        <f>Option_Chain_Output!L3</f>
        <v>330</v>
      </c>
      <c r="Q15" s="95">
        <f>Option_Chain_Output!E3*100</f>
        <v>1849.1614811108275</v>
      </c>
      <c r="R15" s="96">
        <f>Option_Chain_Output!S3*100</f>
        <v>1780.3366432759894</v>
      </c>
      <c r="S15" s="44">
        <f>Option_Chain_Output!F3</f>
        <v>15.8</v>
      </c>
      <c r="T15" s="44">
        <f>Option_Chain_Output!R3</f>
        <v>2.35</v>
      </c>
    </row>
    <row r="16" spans="1:20" ht="15.75" thickBot="1">
      <c r="A16" s="84" t="s">
        <v>350</v>
      </c>
      <c r="B16" s="85" t="e">
        <f t="shared" ref="B16:K16" ca="1" si="10">IF(ISBLANK(B5),0,IF(LEFT(B5,1)="s",0,OTW_BlackScholes(B5,"r",$P$2,B6,(B3-$P$8)/365,$P$5,B9,$P$6)*B4))</f>
        <v>#VALUE!</v>
      </c>
      <c r="C16" s="86" t="e">
        <f t="shared" ca="1" si="10"/>
        <v>#VALUE!</v>
      </c>
      <c r="D16" s="86" t="e">
        <f t="shared" ca="1" si="10"/>
        <v>#VALUE!</v>
      </c>
      <c r="E16" s="86" t="e">
        <f t="shared" ca="1" si="10"/>
        <v>#VALUE!</v>
      </c>
      <c r="F16" s="86" t="e">
        <f t="shared" ca="1" si="10"/>
        <v>#VALUE!</v>
      </c>
      <c r="G16" s="86" t="e">
        <f t="shared" ca="1" si="10"/>
        <v>#VALUE!</v>
      </c>
      <c r="H16" s="86" t="e">
        <f t="shared" ca="1" si="10"/>
        <v>#VALUE!</v>
      </c>
      <c r="I16" s="86" t="e">
        <f t="shared" ca="1" si="10"/>
        <v>#VALUE!</v>
      </c>
      <c r="J16" s="86" t="e">
        <f t="shared" ca="1" si="10"/>
        <v>#VALUE!</v>
      </c>
      <c r="K16" s="87" t="e">
        <f t="shared" ca="1" si="10"/>
        <v>#VALUE!</v>
      </c>
      <c r="L16" s="97" t="e">
        <f ca="1">SUM(B16:K16)</f>
        <v>#VALUE!</v>
      </c>
      <c r="M16" s="44" t="s">
        <v>351</v>
      </c>
      <c r="P16" s="94">
        <f>Option_Chain_Output!L4</f>
        <v>332</v>
      </c>
      <c r="Q16" s="95">
        <f>Option_Chain_Output!E4*100</f>
        <v>1668.1555556091566</v>
      </c>
      <c r="R16" s="96">
        <f>Option_Chain_Output!S4*100</f>
        <v>1794.420347239432</v>
      </c>
      <c r="S16" s="44">
        <f>Option_Chain_Output!F4</f>
        <v>13.75</v>
      </c>
      <c r="T16" s="44">
        <f>Option_Chain_Output!R4</f>
        <v>2.9</v>
      </c>
    </row>
    <row r="17" spans="1:21" ht="15.75" thickBot="1">
      <c r="A17" s="98"/>
      <c r="C17" s="98"/>
      <c r="D17" s="98"/>
      <c r="E17" s="98"/>
      <c r="F17" s="98"/>
      <c r="G17" s="98"/>
      <c r="H17" s="98"/>
      <c r="I17" s="99" t="s">
        <v>352</v>
      </c>
      <c r="J17" s="98"/>
      <c r="K17" s="98"/>
      <c r="L17" s="100" t="e">
        <f ca="1">SUM(L12:L16)</f>
        <v>#VALUE!</v>
      </c>
      <c r="P17" s="94">
        <f>Option_Chain_Output!L5</f>
        <v>335</v>
      </c>
      <c r="Q17" s="95">
        <f>Option_Chain_Output!E5*100</f>
        <v>1784.3771460401022</v>
      </c>
      <c r="R17" s="96">
        <f>Option_Chain_Output!S5*100</f>
        <v>1752.3730127574681</v>
      </c>
      <c r="S17" s="44">
        <f>Option_Chain_Output!F5</f>
        <v>12.05</v>
      </c>
      <c r="T17" s="44">
        <f>Option_Chain_Output!R5</f>
        <v>3.65</v>
      </c>
    </row>
    <row r="18" spans="1:21" ht="15.75" thickBot="1">
      <c r="A18" s="44"/>
      <c r="C18" s="98"/>
      <c r="D18" s="98"/>
      <c r="E18" s="98"/>
      <c r="F18" s="98"/>
      <c r="G18" s="98"/>
      <c r="H18" s="98"/>
      <c r="I18" s="99"/>
      <c r="J18" s="98"/>
      <c r="K18" s="98"/>
      <c r="P18" s="94">
        <f>Option_Chain_Output!L6</f>
        <v>337</v>
      </c>
      <c r="Q18" s="95">
        <f>Option_Chain_Output!E6*100</f>
        <v>1700.5358589472569</v>
      </c>
      <c r="R18" s="96">
        <f>Option_Chain_Output!S6*100</f>
        <v>1794.0102363204212</v>
      </c>
      <c r="S18" s="44">
        <f>Option_Chain_Output!F6</f>
        <v>10.45</v>
      </c>
      <c r="T18" s="44">
        <f>Option_Chain_Output!R6</f>
        <v>4.5</v>
      </c>
      <c r="U18" s="98"/>
    </row>
    <row r="19" spans="1:21" ht="15.75" thickBot="1">
      <c r="A19" s="44"/>
      <c r="C19" s="98"/>
      <c r="D19" s="98"/>
      <c r="E19" s="98"/>
      <c r="F19" s="98"/>
      <c r="G19" s="98"/>
      <c r="H19" s="98"/>
      <c r="I19" s="99"/>
      <c r="J19" s="98"/>
      <c r="K19" s="98"/>
      <c r="P19" s="94">
        <f>Option_Chain_Output!L7</f>
        <v>340</v>
      </c>
      <c r="Q19" s="95">
        <f>Option_Chain_Output!E7*100</f>
        <v>1772.4180540969562</v>
      </c>
      <c r="R19" s="96">
        <f>Option_Chain_Output!S7*100</f>
        <v>1742.0419074386391</v>
      </c>
      <c r="S19" s="44">
        <f>Option_Chain_Output!F7</f>
        <v>8.9499999999999993</v>
      </c>
      <c r="T19" s="44">
        <f>Option_Chain_Output!R7</f>
        <v>5.5</v>
      </c>
      <c r="U19" s="98"/>
    </row>
    <row r="20" spans="1:21" ht="15.75" thickBot="1">
      <c r="A20" s="44"/>
      <c r="C20" s="98"/>
      <c r="D20" s="98"/>
      <c r="E20" s="98"/>
      <c r="F20" s="98"/>
      <c r="G20" s="98"/>
      <c r="H20" s="98"/>
      <c r="I20" s="99"/>
      <c r="J20" s="98"/>
      <c r="K20" s="98"/>
      <c r="P20" s="94">
        <f>Option_Chain_Output!L8</f>
        <v>342</v>
      </c>
      <c r="Q20" s="95">
        <f>Option_Chain_Output!E8*100</f>
        <v>1716.1819805133487</v>
      </c>
      <c r="R20" s="96">
        <f>Option_Chain_Output!S8*100</f>
        <v>1814.4906702884819</v>
      </c>
      <c r="S20" s="44">
        <f>Option_Chain_Output!F8</f>
        <v>7.65</v>
      </c>
      <c r="T20" s="44">
        <f>Option_Chain_Output!R8</f>
        <v>6.7</v>
      </c>
      <c r="U20" s="98"/>
    </row>
    <row r="21" spans="1:21" ht="15.75" thickBot="1">
      <c r="A21" s="44"/>
      <c r="C21" s="98"/>
      <c r="D21" s="98"/>
      <c r="E21" s="98"/>
      <c r="F21" s="98"/>
      <c r="G21" s="98"/>
      <c r="H21" s="98"/>
      <c r="I21" s="99"/>
      <c r="J21" s="98"/>
      <c r="K21" s="98"/>
      <c r="P21" s="94">
        <f>Option_Chain_Output!L9</f>
        <v>345</v>
      </c>
      <c r="Q21" s="95">
        <f>Option_Chain_Output!E9*100</f>
        <v>1801.759459506713</v>
      </c>
      <c r="R21" s="96">
        <f>Option_Chain_Output!S9*100</f>
        <v>1758.3280184853852</v>
      </c>
      <c r="S21" s="44">
        <f>Option_Chain_Output!F9</f>
        <v>6.55</v>
      </c>
      <c r="T21" s="44">
        <f>Option_Chain_Output!R9</f>
        <v>8</v>
      </c>
      <c r="U21" s="98"/>
    </row>
    <row r="22" spans="1:21" ht="15.75" thickBot="1">
      <c r="A22" s="44"/>
      <c r="C22" s="98"/>
      <c r="D22" s="98"/>
      <c r="E22" s="98"/>
      <c r="F22" s="98"/>
      <c r="G22" s="98"/>
      <c r="H22" s="98"/>
      <c r="I22" s="99"/>
      <c r="J22" s="98"/>
      <c r="K22" s="98"/>
      <c r="P22" s="94">
        <f>Option_Chain_Output!L10</f>
        <v>347</v>
      </c>
      <c r="Q22" s="95">
        <f>Option_Chain_Output!E10*100</f>
        <v>1741.3064919604499</v>
      </c>
      <c r="R22" s="96">
        <f>Option_Chain_Output!S10*100</f>
        <v>1864.1255001768243</v>
      </c>
      <c r="S22" s="44">
        <f>Option_Chain_Output!F10</f>
        <v>5.45</v>
      </c>
      <c r="T22" s="44">
        <f>Option_Chain_Output!R10</f>
        <v>9.5500000000000007</v>
      </c>
      <c r="U22" s="98"/>
    </row>
    <row r="23" spans="1:21" ht="15.75" thickBot="1">
      <c r="A23" s="44"/>
      <c r="C23" s="98"/>
      <c r="D23" s="98"/>
      <c r="E23" s="98"/>
      <c r="F23" s="98"/>
      <c r="G23" s="98"/>
      <c r="H23" s="98"/>
      <c r="I23" s="99"/>
      <c r="J23" s="98"/>
      <c r="K23" s="98"/>
      <c r="P23" s="94">
        <f>Option_Chain_Output!L11</f>
        <v>350</v>
      </c>
      <c r="Q23" s="95">
        <f>Option_Chain_Output!E11*100</f>
        <v>1825.5380048862478</v>
      </c>
      <c r="R23" s="96">
        <f>Option_Chain_Output!S11*100</f>
        <v>1752.3201850587429</v>
      </c>
      <c r="S23" s="44">
        <f>Option_Chain_Output!F11</f>
        <v>4.6500000000000004</v>
      </c>
      <c r="T23" s="44">
        <f>Option_Chain_Output!R11</f>
        <v>10.95</v>
      </c>
    </row>
    <row r="24" spans="1:21" ht="15.75" thickBot="1">
      <c r="A24" s="44"/>
      <c r="C24" s="98"/>
      <c r="D24" s="98"/>
      <c r="E24" s="98"/>
      <c r="F24" s="98"/>
      <c r="G24" s="98"/>
      <c r="H24" s="98"/>
      <c r="I24" s="99"/>
      <c r="J24" s="98"/>
      <c r="K24" s="98"/>
      <c r="P24" s="94">
        <f>Option_Chain_Output!L12</f>
        <v>352</v>
      </c>
      <c r="Q24" s="95">
        <f>Option_Chain_Output!E12*100</f>
        <v>1801.5450905302234</v>
      </c>
      <c r="R24" s="96">
        <f>Option_Chain_Output!S12*100</f>
        <v>3117.4627424396044</v>
      </c>
      <c r="S24" s="44">
        <f>Option_Chain_Output!F12</f>
        <v>3.9</v>
      </c>
      <c r="T24" s="44">
        <f>Option_Chain_Output!R12</f>
        <v>17.55</v>
      </c>
    </row>
    <row r="25" spans="1:21" ht="15.75" thickBot="1">
      <c r="A25" s="44"/>
      <c r="C25" s="98"/>
      <c r="D25" s="98"/>
      <c r="E25" s="98"/>
      <c r="F25" s="98"/>
      <c r="G25" s="98"/>
      <c r="H25" s="98"/>
      <c r="I25" s="99"/>
      <c r="J25" s="98"/>
      <c r="K25" s="98"/>
      <c r="P25" s="94">
        <f>Option_Chain_Output!L13</f>
        <v>0</v>
      </c>
      <c r="Q25" s="95">
        <f>Option_Chain_Output!E13*100</f>
        <v>0</v>
      </c>
      <c r="R25" s="96">
        <f>Option_Chain_Output!S13*100</f>
        <v>0</v>
      </c>
      <c r="S25" s="44">
        <f>Option_Chain_Output!F13</f>
        <v>0</v>
      </c>
      <c r="T25" s="44">
        <f>Option_Chain_Output!R13</f>
        <v>0</v>
      </c>
    </row>
    <row r="26" spans="1:21" ht="15.75" thickBot="1">
      <c r="A26" s="44"/>
      <c r="C26" s="98"/>
      <c r="D26" s="98"/>
      <c r="E26" s="98"/>
      <c r="F26" s="98"/>
      <c r="G26" s="98"/>
      <c r="H26" s="98"/>
      <c r="I26" s="99"/>
      <c r="J26" s="98"/>
      <c r="K26" s="98"/>
      <c r="P26" s="94">
        <f>Option_Chain_Output!L14</f>
        <v>0</v>
      </c>
      <c r="Q26" s="95">
        <f>Option_Chain_Output!E14*100</f>
        <v>0</v>
      </c>
      <c r="R26" s="96">
        <f>Option_Chain_Output!S14*100</f>
        <v>0</v>
      </c>
      <c r="S26" s="44">
        <f>Option_Chain_Output!F14</f>
        <v>0</v>
      </c>
      <c r="T26" s="44">
        <f>Option_Chain_Output!R14</f>
        <v>0</v>
      </c>
    </row>
    <row r="27" spans="1:21" ht="15.75" thickBot="1">
      <c r="A27" s="44"/>
      <c r="C27" s="98"/>
      <c r="D27" s="98"/>
      <c r="E27" s="98"/>
      <c r="F27" s="98"/>
      <c r="G27" s="98"/>
      <c r="H27" s="98"/>
      <c r="I27" s="99"/>
      <c r="J27" s="98"/>
      <c r="K27" s="98"/>
      <c r="P27" s="94">
        <f>Option_Chain_Output!L15</f>
        <v>0</v>
      </c>
      <c r="Q27" s="95">
        <f>Option_Chain_Output!E15*100</f>
        <v>0</v>
      </c>
      <c r="R27" s="96">
        <f>Option_Chain_Output!S15*100</f>
        <v>0</v>
      </c>
      <c r="S27" s="44">
        <f>Option_Chain_Output!F15</f>
        <v>0</v>
      </c>
      <c r="T27" s="44">
        <f>Option_Chain_Output!R15</f>
        <v>0</v>
      </c>
    </row>
    <row r="28" spans="1:21" ht="15.75" thickBot="1">
      <c r="A28" s="44"/>
      <c r="C28" s="98"/>
      <c r="D28" s="98"/>
      <c r="E28" s="98"/>
      <c r="F28" s="98"/>
      <c r="G28" s="98"/>
      <c r="H28" s="98"/>
      <c r="I28" s="99"/>
      <c r="J28" s="98"/>
      <c r="K28" s="98"/>
      <c r="P28" s="94">
        <f>Option_Chain_Output!L16</f>
        <v>0</v>
      </c>
      <c r="Q28" s="95">
        <f>Option_Chain_Output!E16*100</f>
        <v>0</v>
      </c>
      <c r="R28" s="96">
        <f>Option_Chain_Output!S16*100</f>
        <v>0</v>
      </c>
      <c r="S28" s="44">
        <f>Option_Chain_Output!F16</f>
        <v>0</v>
      </c>
      <c r="T28" s="44">
        <f>Option_Chain_Output!R16</f>
        <v>0</v>
      </c>
    </row>
    <row r="29" spans="1:21" ht="15.75" thickBot="1">
      <c r="A29" s="44"/>
      <c r="C29" s="98"/>
      <c r="D29" s="98"/>
      <c r="E29" s="98"/>
      <c r="F29" s="98"/>
      <c r="G29" s="98"/>
      <c r="H29" s="98"/>
      <c r="I29" s="99"/>
      <c r="J29" s="98"/>
      <c r="K29" s="98"/>
      <c r="P29" s="94">
        <f>Option_Chain_Output!L17</f>
        <v>0</v>
      </c>
      <c r="Q29" s="95">
        <f>Option_Chain_Output!E17*100</f>
        <v>0</v>
      </c>
      <c r="R29" s="96">
        <f>Option_Chain_Output!S17*100</f>
        <v>0</v>
      </c>
      <c r="S29" s="44">
        <f>Option_Chain_Output!F17</f>
        <v>0</v>
      </c>
      <c r="T29" s="44">
        <f>Option_Chain_Output!R17</f>
        <v>0</v>
      </c>
    </row>
    <row r="30" spans="1:21" ht="15.75" thickBot="1">
      <c r="A30" s="44"/>
      <c r="C30" s="98"/>
      <c r="D30" s="98"/>
      <c r="E30" s="98"/>
      <c r="F30" s="98"/>
      <c r="G30" s="98"/>
      <c r="H30" s="98"/>
      <c r="I30" s="99"/>
      <c r="J30" s="98"/>
      <c r="K30" s="98"/>
      <c r="P30" s="94">
        <f>Option_Chain_Output!L18</f>
        <v>0</v>
      </c>
      <c r="Q30" s="95">
        <f>Option_Chain_Output!E18*100</f>
        <v>0</v>
      </c>
      <c r="R30" s="96">
        <f>Option_Chain_Output!S18*100</f>
        <v>0</v>
      </c>
      <c r="S30" s="44">
        <f>Option_Chain_Output!F18</f>
        <v>0</v>
      </c>
      <c r="T30" s="44">
        <f>Option_Chain_Output!R18</f>
        <v>0</v>
      </c>
    </row>
    <row r="31" spans="1:21" ht="15.75" thickBot="1">
      <c r="A31" s="44"/>
      <c r="C31" s="98"/>
      <c r="D31" s="98"/>
      <c r="E31" s="98"/>
      <c r="F31" s="98"/>
      <c r="G31" s="98"/>
      <c r="H31" s="98"/>
      <c r="I31" s="99"/>
      <c r="J31" s="98"/>
      <c r="K31" s="98"/>
      <c r="P31" s="94">
        <f>Option_Chain_Output!L19</f>
        <v>0</v>
      </c>
      <c r="Q31" s="95">
        <f>Option_Chain_Output!E19*100</f>
        <v>0</v>
      </c>
      <c r="R31" s="96">
        <f>Option_Chain_Output!S19*100</f>
        <v>0</v>
      </c>
      <c r="S31" s="44">
        <f>Option_Chain_Output!F19</f>
        <v>0</v>
      </c>
      <c r="T31" s="44">
        <f>Option_Chain_Output!R19</f>
        <v>0</v>
      </c>
    </row>
    <row r="32" spans="1:21" ht="15.75" thickBot="1">
      <c r="A32" s="44"/>
      <c r="C32" s="98"/>
      <c r="D32" s="98"/>
      <c r="E32" s="98"/>
      <c r="F32" s="98"/>
      <c r="G32" s="98"/>
      <c r="H32" s="98"/>
      <c r="I32" s="99"/>
      <c r="J32" s="98"/>
      <c r="K32" s="98"/>
      <c r="P32" s="94">
        <f>Option_Chain_Output!L20</f>
        <v>0</v>
      </c>
      <c r="Q32" s="95">
        <f>Option_Chain_Output!E20*100</f>
        <v>0</v>
      </c>
      <c r="R32" s="96">
        <f>Option_Chain_Output!S20*100</f>
        <v>0</v>
      </c>
      <c r="S32" s="44">
        <f>Option_Chain_Output!F20</f>
        <v>0</v>
      </c>
      <c r="T32" s="44">
        <f>Option_Chain_Output!R20</f>
        <v>0</v>
      </c>
    </row>
    <row r="33" spans="1:20" ht="15.75" thickBot="1">
      <c r="A33" s="101" t="s">
        <v>353</v>
      </c>
      <c r="B33" s="102"/>
      <c r="C33" s="102"/>
      <c r="D33" s="102"/>
      <c r="E33" s="102"/>
      <c r="F33" s="102"/>
      <c r="G33" s="102"/>
      <c r="H33" s="102"/>
      <c r="I33" s="103"/>
      <c r="J33" s="104"/>
      <c r="K33" s="102"/>
      <c r="L33" s="104"/>
      <c r="P33" s="94">
        <f>Option_Chain_Output!L21</f>
        <v>0</v>
      </c>
      <c r="Q33" s="95">
        <f>Option_Chain_Output!E21*100</f>
        <v>0</v>
      </c>
      <c r="R33" s="96">
        <f>Option_Chain_Output!S21*100</f>
        <v>0</v>
      </c>
      <c r="S33" s="44">
        <f>Option_Chain_Output!F21</f>
        <v>0</v>
      </c>
      <c r="T33" s="44">
        <f>Option_Chain_Output!R21</f>
        <v>0</v>
      </c>
    </row>
    <row r="34" spans="1:20" ht="15.75" thickBot="1">
      <c r="A34" s="105" t="s">
        <v>322</v>
      </c>
      <c r="B34" s="106" t="e">
        <f>MROUND(C34-$P$7,P7)</f>
        <v>#NUM!</v>
      </c>
      <c r="C34" s="106" t="e">
        <f>MROUND(D34-$P$7,P7)</f>
        <v>#NUM!</v>
      </c>
      <c r="D34" s="106">
        <f>MROUND(E34-$P$7,P7)</f>
        <v>0</v>
      </c>
      <c r="E34" s="106">
        <f>MROUND(F34-$P$7,P7)</f>
        <v>100</v>
      </c>
      <c r="F34" s="106">
        <f>MROUND(G34-$P$7,P7)</f>
        <v>200</v>
      </c>
      <c r="G34" s="107">
        <f>P2</f>
        <v>340.3</v>
      </c>
      <c r="H34" s="106">
        <f>MROUND(G34+$P$7,P7)</f>
        <v>400</v>
      </c>
      <c r="I34" s="106">
        <f>MROUND(H34+$P$7,P7)</f>
        <v>500</v>
      </c>
      <c r="J34" s="106">
        <f>I34+$P$7</f>
        <v>600</v>
      </c>
      <c r="K34" s="106">
        <f>J34+$P$7</f>
        <v>700</v>
      </c>
      <c r="L34" s="108">
        <f>K34+$P$7</f>
        <v>800</v>
      </c>
      <c r="P34" s="94">
        <f>Option_Chain_Output!L22</f>
        <v>0</v>
      </c>
      <c r="Q34" s="95">
        <f>Option_Chain_Output!E22*100</f>
        <v>0</v>
      </c>
      <c r="R34" s="96">
        <f>Option_Chain_Output!S22*100</f>
        <v>0</v>
      </c>
      <c r="S34" s="44">
        <f>Option_Chain_Output!F22</f>
        <v>0</v>
      </c>
      <c r="T34" s="44">
        <f>Option_Chain_Output!R22</f>
        <v>0</v>
      </c>
    </row>
    <row r="35" spans="1:20" ht="15.75" thickBot="1">
      <c r="A35" s="109" t="s">
        <v>311</v>
      </c>
      <c r="B35" s="110" t="e">
        <f t="shared" ref="B35:L35" si="11">IF(LEFT($B$5,1)="s",$B$4*(B$34-$B$11),IF(LEFT($B$5,1)="c",(MAX((B$34-$B$6),0)-$B$11)*$B$4*$P$4,IF(LEFT($B$5,1)="p",(MAX(($B$6-B$34),0)-$B$11)*$B$4*$P$4,0)))</f>
        <v>#NUM!</v>
      </c>
      <c r="C35" s="110" t="e">
        <f t="shared" si="11"/>
        <v>#NUM!</v>
      </c>
      <c r="D35" s="110">
        <f t="shared" si="11"/>
        <v>0</v>
      </c>
      <c r="E35" s="110">
        <f t="shared" si="11"/>
        <v>0</v>
      </c>
      <c r="F35" s="110">
        <f t="shared" si="11"/>
        <v>0</v>
      </c>
      <c r="G35" s="110">
        <f t="shared" si="11"/>
        <v>0</v>
      </c>
      <c r="H35" s="110">
        <f t="shared" si="11"/>
        <v>0</v>
      </c>
      <c r="I35" s="110">
        <f t="shared" si="11"/>
        <v>0</v>
      </c>
      <c r="J35" s="110">
        <f t="shared" si="11"/>
        <v>0</v>
      </c>
      <c r="K35" s="110">
        <f t="shared" si="11"/>
        <v>0</v>
      </c>
      <c r="L35" s="111">
        <f t="shared" si="11"/>
        <v>0</v>
      </c>
      <c r="P35" s="94">
        <f>Option_Chain_Output!L23</f>
        <v>0</v>
      </c>
      <c r="Q35" s="95">
        <f>Option_Chain_Output!E23*100</f>
        <v>0</v>
      </c>
      <c r="R35" s="96">
        <f>Option_Chain_Output!S23*100</f>
        <v>0</v>
      </c>
      <c r="S35" s="44">
        <f>Option_Chain_Output!F23</f>
        <v>0</v>
      </c>
      <c r="T35" s="44">
        <f>Option_Chain_Output!R23</f>
        <v>0</v>
      </c>
    </row>
    <row r="36" spans="1:20" ht="15.75" thickBot="1">
      <c r="A36" s="109" t="s">
        <v>312</v>
      </c>
      <c r="B36" s="110" t="e">
        <f t="shared" ref="B36:L36" si="12">IF(LEFT($C$5,1)="s",$C$4*(B$34-$C$11),IF(LEFT($C$5,1)="c",(MAX((B$34-$C$6),0)-$C$11)*$C$4*$P$4,IF(LEFT($C$5,1)="p",(MAX(($C$6-B$34),0)-$C$11)*$C$4*$P$4,0)))</f>
        <v>#NUM!</v>
      </c>
      <c r="C36" s="110" t="e">
        <f t="shared" si="12"/>
        <v>#NUM!</v>
      </c>
      <c r="D36" s="110">
        <f t="shared" si="12"/>
        <v>0</v>
      </c>
      <c r="E36" s="110">
        <f t="shared" si="12"/>
        <v>0</v>
      </c>
      <c r="F36" s="110">
        <f t="shared" si="12"/>
        <v>0</v>
      </c>
      <c r="G36" s="110">
        <f t="shared" si="12"/>
        <v>0</v>
      </c>
      <c r="H36" s="110">
        <f t="shared" si="12"/>
        <v>0</v>
      </c>
      <c r="I36" s="110">
        <f t="shared" si="12"/>
        <v>0</v>
      </c>
      <c r="J36" s="110">
        <f t="shared" si="12"/>
        <v>0</v>
      </c>
      <c r="K36" s="110">
        <f t="shared" si="12"/>
        <v>0</v>
      </c>
      <c r="L36" s="111">
        <f t="shared" si="12"/>
        <v>0</v>
      </c>
      <c r="P36" s="94">
        <f>Option_Chain_Output!L24</f>
        <v>0</v>
      </c>
      <c r="Q36" s="95">
        <f>Option_Chain_Output!E24*100</f>
        <v>0</v>
      </c>
      <c r="R36" s="96">
        <f>Option_Chain_Output!S24*100</f>
        <v>0</v>
      </c>
      <c r="S36" s="44">
        <f>Option_Chain_Output!F24</f>
        <v>0</v>
      </c>
      <c r="T36" s="44">
        <f>Option_Chain_Output!R24</f>
        <v>0</v>
      </c>
    </row>
    <row r="37" spans="1:20" ht="15.75" thickBot="1">
      <c r="A37" s="109" t="s">
        <v>313</v>
      </c>
      <c r="B37" s="110" t="e">
        <f t="shared" ref="B37:L37" si="13">IF(LEFT($D$5,1)="s",$D$4*(B$34-$D$11),IF(LEFT($D$5,1)="c",(MAX((B$34-$D$6),0)-$D$11)*$D$4*$P$4,IF(LEFT($D$5,1)="p",(MAX(($D$6-B$34),0)-$D$11)*$D$4*$P$4,0)))</f>
        <v>#NUM!</v>
      </c>
      <c r="C37" s="110" t="e">
        <f t="shared" si="13"/>
        <v>#NUM!</v>
      </c>
      <c r="D37" s="110">
        <f t="shared" si="13"/>
        <v>41600</v>
      </c>
      <c r="E37" s="110">
        <f t="shared" si="13"/>
        <v>41500</v>
      </c>
      <c r="F37" s="110">
        <f t="shared" si="13"/>
        <v>41400</v>
      </c>
      <c r="G37" s="110">
        <f t="shared" si="13"/>
        <v>41259.699999999997</v>
      </c>
      <c r="H37" s="110">
        <f t="shared" si="13"/>
        <v>41200</v>
      </c>
      <c r="I37" s="110">
        <f t="shared" si="13"/>
        <v>41100</v>
      </c>
      <c r="J37" s="110">
        <f t="shared" si="13"/>
        <v>41000</v>
      </c>
      <c r="K37" s="110">
        <f t="shared" si="13"/>
        <v>40900</v>
      </c>
      <c r="L37" s="111">
        <f t="shared" si="13"/>
        <v>40800</v>
      </c>
      <c r="P37" s="94">
        <f>Option_Chain_Output!L25</f>
        <v>0</v>
      </c>
      <c r="Q37" s="95">
        <f>Option_Chain_Output!E25*100</f>
        <v>0</v>
      </c>
      <c r="R37" s="96">
        <f>Option_Chain_Output!S25*100</f>
        <v>0</v>
      </c>
      <c r="S37" s="44">
        <f>Option_Chain_Output!F25</f>
        <v>0</v>
      </c>
      <c r="T37" s="44">
        <f>Option_Chain_Output!R25</f>
        <v>0</v>
      </c>
    </row>
    <row r="38" spans="1:20" ht="15.75" thickBot="1">
      <c r="A38" s="109" t="s">
        <v>314</v>
      </c>
      <c r="B38" s="110" t="e">
        <f t="shared" ref="B38:L38" si="14">IF(LEFT($E$5,1)="s",$E$4*(B$34-$E$11),IF(LEFT($E$5,1)="c",(MAX((B$34-$E$6),0)-$E$11)*$E$4*$P$4,IF(LEFT($E$5,1)="p",(MAX(($E$6-B$34),0)-$E$11)*$E$4*$P$4,0)))</f>
        <v>#NUM!</v>
      </c>
      <c r="C38" s="110" t="e">
        <f t="shared" si="14"/>
        <v>#NUM!</v>
      </c>
      <c r="D38" s="110">
        <f t="shared" si="14"/>
        <v>-83600</v>
      </c>
      <c r="E38" s="110">
        <f t="shared" si="14"/>
        <v>-83400</v>
      </c>
      <c r="F38" s="110">
        <f t="shared" si="14"/>
        <v>-83200</v>
      </c>
      <c r="G38" s="110">
        <f t="shared" si="14"/>
        <v>-82919.399999999994</v>
      </c>
      <c r="H38" s="110">
        <f t="shared" si="14"/>
        <v>-82800</v>
      </c>
      <c r="I38" s="110">
        <f t="shared" si="14"/>
        <v>-82600</v>
      </c>
      <c r="J38" s="110">
        <f t="shared" si="14"/>
        <v>-82400</v>
      </c>
      <c r="K38" s="110">
        <f t="shared" si="14"/>
        <v>-82200</v>
      </c>
      <c r="L38" s="111">
        <f t="shared" si="14"/>
        <v>-82000</v>
      </c>
      <c r="P38" s="94">
        <f>Option_Chain_Output!L26</f>
        <v>0</v>
      </c>
      <c r="Q38" s="95">
        <f>Option_Chain_Output!E26*100</f>
        <v>0</v>
      </c>
      <c r="R38" s="96">
        <f>Option_Chain_Output!S26*100</f>
        <v>0</v>
      </c>
      <c r="S38" s="44">
        <f>Option_Chain_Output!F26</f>
        <v>0</v>
      </c>
      <c r="T38" s="44">
        <f>Option_Chain_Output!R26</f>
        <v>0</v>
      </c>
    </row>
    <row r="39" spans="1:20" ht="15.75" thickBot="1">
      <c r="A39" s="109" t="s">
        <v>315</v>
      </c>
      <c r="B39" s="110" t="e">
        <f>IF(LEFT($F$5,1)="s",$F$4*(B$34-F$11),IF(LEFT($F$5,1)="c",(MAX((B$34-$F$6),0)-$F$11)*$F$4*$P$4,IF(LEFT($F$5,1)="p",(MAX(($F$6-B$34),0)-$F$11)*$F$4*$P$4,0)))</f>
        <v>#NUM!</v>
      </c>
      <c r="C39" s="110" t="e">
        <f t="shared" ref="C39:L39" si="15">IF(LEFT($F$5,1)="s",$F$4*(C34-$F$11),IF(LEFT($F$5,1)="c",(MAX((C34-$F$6),0)-$F$11)*$F$4*$P$4,IF(LEFT($F$5,1)="p",(MAX(($F$6-C34),0)-$F$11)*$F$4*$P$4,0)))</f>
        <v>#NUM!</v>
      </c>
      <c r="D39" s="110">
        <f t="shared" si="15"/>
        <v>42000</v>
      </c>
      <c r="E39" s="110">
        <f t="shared" si="15"/>
        <v>41900</v>
      </c>
      <c r="F39" s="110">
        <f t="shared" si="15"/>
        <v>41800</v>
      </c>
      <c r="G39" s="110">
        <f t="shared" si="15"/>
        <v>41659.699999999997</v>
      </c>
      <c r="H39" s="110">
        <f t="shared" si="15"/>
        <v>41600</v>
      </c>
      <c r="I39" s="110">
        <f t="shared" si="15"/>
        <v>41500</v>
      </c>
      <c r="J39" s="110">
        <f t="shared" si="15"/>
        <v>41400</v>
      </c>
      <c r="K39" s="110">
        <f t="shared" si="15"/>
        <v>41300</v>
      </c>
      <c r="L39" s="111">
        <f t="shared" si="15"/>
        <v>41200</v>
      </c>
      <c r="P39" s="94">
        <f>Option_Chain_Output!L27</f>
        <v>0</v>
      </c>
      <c r="Q39" s="95">
        <f>Option_Chain_Output!E27*100</f>
        <v>0</v>
      </c>
      <c r="R39" s="96">
        <f>Option_Chain_Output!S27*100</f>
        <v>0</v>
      </c>
      <c r="S39" s="44">
        <f>Option_Chain_Output!F27</f>
        <v>0</v>
      </c>
      <c r="T39" s="44">
        <f>Option_Chain_Output!R27</f>
        <v>0</v>
      </c>
    </row>
    <row r="40" spans="1:20" ht="15.75" thickBot="1">
      <c r="A40" s="109" t="s">
        <v>316</v>
      </c>
      <c r="B40" s="110" t="e">
        <f t="shared" ref="B40:L40" si="16">IF(LEFT($G$5,1)="s",$G$4*(B$34-G$11),IF(LEFT($G$5,1)="c",(MAX((B$34-$G$6),0)-$G$11)*$G$4*$P$4,IF(LEFT($G$5,1)="p",(MAX(($G$6-B$34),0)-$G$11)*$G$4*$P$4,0)))</f>
        <v>#NUM!</v>
      </c>
      <c r="C40" s="110" t="e">
        <f t="shared" si="16"/>
        <v>#NUM!</v>
      </c>
      <c r="D40" s="110">
        <f t="shared" si="16"/>
        <v>0</v>
      </c>
      <c r="E40" s="110">
        <f t="shared" si="16"/>
        <v>0</v>
      </c>
      <c r="F40" s="110">
        <f t="shared" si="16"/>
        <v>0</v>
      </c>
      <c r="G40" s="110">
        <f t="shared" si="16"/>
        <v>0</v>
      </c>
      <c r="H40" s="110">
        <f t="shared" si="16"/>
        <v>0</v>
      </c>
      <c r="I40" s="110">
        <f t="shared" si="16"/>
        <v>0</v>
      </c>
      <c r="J40" s="110">
        <f t="shared" si="16"/>
        <v>0</v>
      </c>
      <c r="K40" s="110">
        <f t="shared" si="16"/>
        <v>0</v>
      </c>
      <c r="L40" s="111">
        <f t="shared" si="16"/>
        <v>0</v>
      </c>
      <c r="P40" s="94">
        <f>Option_Chain_Output!L28</f>
        <v>0</v>
      </c>
      <c r="Q40" s="95">
        <f>Option_Chain_Output!E28*100</f>
        <v>0</v>
      </c>
      <c r="R40" s="96">
        <f>Option_Chain_Output!S28*100</f>
        <v>0</v>
      </c>
      <c r="S40" s="44">
        <f>Option_Chain_Output!F28</f>
        <v>0</v>
      </c>
      <c r="T40" s="44">
        <f>Option_Chain_Output!R28</f>
        <v>0</v>
      </c>
    </row>
    <row r="41" spans="1:20" ht="15.75" thickBot="1">
      <c r="A41" s="109" t="s">
        <v>317</v>
      </c>
      <c r="B41" s="110" t="e">
        <f t="shared" ref="B41:L41" si="17">IF(LEFT($H$5,1)="s",$H$4*(B$34-H$11),IF(LEFT($H$5,1)="c",(MAX((B$34-$H$6),0)-$H$11)*$H$4*$P$4,IF(LEFT($H$5,1)="p",(MAX(($H$6-B$34),0)-$H$11)*$H$4*$P$4,0)))</f>
        <v>#NUM!</v>
      </c>
      <c r="C41" s="110" t="e">
        <f t="shared" si="17"/>
        <v>#NUM!</v>
      </c>
      <c r="D41" s="110">
        <f t="shared" si="17"/>
        <v>0</v>
      </c>
      <c r="E41" s="110">
        <f t="shared" si="17"/>
        <v>0</v>
      </c>
      <c r="F41" s="110">
        <f t="shared" si="17"/>
        <v>0</v>
      </c>
      <c r="G41" s="110">
        <f t="shared" si="17"/>
        <v>0</v>
      </c>
      <c r="H41" s="110">
        <f t="shared" si="17"/>
        <v>0</v>
      </c>
      <c r="I41" s="110">
        <f t="shared" si="17"/>
        <v>0</v>
      </c>
      <c r="J41" s="110">
        <f t="shared" si="17"/>
        <v>0</v>
      </c>
      <c r="K41" s="110">
        <f t="shared" si="17"/>
        <v>0</v>
      </c>
      <c r="L41" s="111">
        <f t="shared" si="17"/>
        <v>0</v>
      </c>
      <c r="P41" s="94">
        <f>Option_Chain_Output!L29</f>
        <v>0</v>
      </c>
      <c r="Q41" s="95">
        <f>Option_Chain_Output!E29*100</f>
        <v>0</v>
      </c>
      <c r="R41" s="96">
        <f>Option_Chain_Output!S29*100</f>
        <v>0</v>
      </c>
      <c r="S41" s="44">
        <f>Option_Chain_Output!F29</f>
        <v>0</v>
      </c>
      <c r="T41" s="44">
        <f>Option_Chain_Output!R29</f>
        <v>0</v>
      </c>
    </row>
    <row r="42" spans="1:20" ht="15.75" thickBot="1">
      <c r="A42" s="109" t="s">
        <v>318</v>
      </c>
      <c r="B42" s="110" t="e">
        <f t="shared" ref="B42:K42" si="18">IF(LEFT($I$5,1)="s",$I$4*(B$34-I$11),IF(LEFT($I$5,1)="c",(MAX((B$34-$I$6),0)-$I$11)*$I$4*$P$4,IF(LEFT($I$5,1)="p",(MAX(($I$6-B$34),0)-$I$11)*$I$4*$P$4,0)))</f>
        <v>#NUM!</v>
      </c>
      <c r="C42" s="110" t="e">
        <f t="shared" si="18"/>
        <v>#NUM!</v>
      </c>
      <c r="D42" s="110">
        <f t="shared" si="18"/>
        <v>0</v>
      </c>
      <c r="E42" s="110">
        <f t="shared" si="18"/>
        <v>0</v>
      </c>
      <c r="F42" s="110">
        <f t="shared" si="18"/>
        <v>0</v>
      </c>
      <c r="G42" s="110">
        <f t="shared" si="18"/>
        <v>0</v>
      </c>
      <c r="H42" s="110">
        <f t="shared" si="18"/>
        <v>0</v>
      </c>
      <c r="I42" s="110">
        <f t="shared" si="18"/>
        <v>0</v>
      </c>
      <c r="J42" s="110">
        <f t="shared" si="18"/>
        <v>0</v>
      </c>
      <c r="K42" s="110">
        <f t="shared" si="18"/>
        <v>0</v>
      </c>
      <c r="L42" s="111">
        <f>IF(LEFT($I$5,1)="s",$I$4*(L$34-#REF!),IF(LEFT($I$5,1)="c",(MAX((L$34-$I$6),0)-$I$11)*$I$4*$P$4,IF(LEFT($I$5,1)="p",(MAX(($I$6-L$34),0)-$I$11)*$I$4*$P$4,0)))</f>
        <v>0</v>
      </c>
      <c r="P42" s="94">
        <f>Option_Chain_Output!L30</f>
        <v>0</v>
      </c>
      <c r="Q42" s="95">
        <f>Option_Chain_Output!E30*100</f>
        <v>0</v>
      </c>
      <c r="R42" s="96">
        <f>Option_Chain_Output!S30*100</f>
        <v>0</v>
      </c>
      <c r="S42" s="44">
        <f>Option_Chain_Output!F30</f>
        <v>0</v>
      </c>
      <c r="T42" s="44">
        <f>Option_Chain_Output!R30</f>
        <v>0</v>
      </c>
    </row>
    <row r="43" spans="1:20" ht="15.75" thickBot="1">
      <c r="A43" s="109" t="s">
        <v>319</v>
      </c>
      <c r="B43" s="110" t="e">
        <f t="shared" ref="B43:J43" si="19">IF(LEFT($J$5,1)="s",$J$4*(B$34-J$11),IF(LEFT($J$5,1)="c",(MAX((B$34-$J$6),0)-$J$11)*$J$4*$P$4,IF(LEFT($J$5,1)="p",(MAX(($J$6-B$34),0)-$J$11)*$J$4*$P$4,0)))</f>
        <v>#NUM!</v>
      </c>
      <c r="C43" s="110" t="e">
        <f t="shared" si="19"/>
        <v>#NUM!</v>
      </c>
      <c r="D43" s="110">
        <f t="shared" si="19"/>
        <v>0</v>
      </c>
      <c r="E43" s="110">
        <f t="shared" si="19"/>
        <v>0</v>
      </c>
      <c r="F43" s="110">
        <f t="shared" si="19"/>
        <v>0</v>
      </c>
      <c r="G43" s="110">
        <f t="shared" si="19"/>
        <v>0</v>
      </c>
      <c r="H43" s="110">
        <f t="shared" si="19"/>
        <v>0</v>
      </c>
      <c r="I43" s="110">
        <f t="shared" si="19"/>
        <v>0</v>
      </c>
      <c r="J43" s="110">
        <f t="shared" si="19"/>
        <v>0</v>
      </c>
      <c r="K43" s="110">
        <f>IF(LEFT($J$5,1)="s",$J$4*(K$34-#REF!),IF(LEFT($J$5,1)="c",(MAX((K$34-$J$6),0)-$J$11)*$J$4*$P$4,IF(LEFT($J$5,1)="p",(MAX(($J$6-K$34),0)-$J$11)*$J$4*$P$4,0)))</f>
        <v>0</v>
      </c>
      <c r="L43" s="111">
        <f>IF(LEFT($J$5,1)="s",$J$4*(L$34-#REF!),IF(LEFT($J$5,1)="c",(MAX((L$34-$J$6),0)-$J$11)*$J$4*$P$4,IF(LEFT($J$5,1)="p",(MAX(($J$6-L$34),0)-$J$11)*$J$4*$P$4,0)))</f>
        <v>0</v>
      </c>
      <c r="P43" s="94">
        <f>Option_Chain_Output!L31</f>
        <v>0</v>
      </c>
      <c r="Q43" s="95">
        <f>Option_Chain_Output!E31*100</f>
        <v>0</v>
      </c>
      <c r="R43" s="96">
        <f>Option_Chain_Output!S31*100</f>
        <v>0</v>
      </c>
      <c r="S43" s="44">
        <f>Option_Chain_Output!F31</f>
        <v>0</v>
      </c>
      <c r="T43" s="44">
        <f>Option_Chain_Output!R31</f>
        <v>0</v>
      </c>
    </row>
    <row r="44" spans="1:20" ht="15.75" thickBot="1">
      <c r="A44" s="109" t="s">
        <v>320</v>
      </c>
      <c r="B44" s="110" t="e">
        <f t="shared" ref="B44:I44" si="20">IF(LEFT($K$5,1)="s",$K$4*(B$34-K$11),IF(LEFT($K$5,1)="c",(MAX((B$34-$K$6),0)-$K$11)*$K$4*$P$4,IF(LEFT($K$5,1)="p",(MAX(($K$6-B$34),0)-$K$11)*$K$4*$P$4,0)))</f>
        <v>#NUM!</v>
      </c>
      <c r="C44" s="110" t="e">
        <f t="shared" si="20"/>
        <v>#NUM!</v>
      </c>
      <c r="D44" s="110">
        <f t="shared" si="20"/>
        <v>0</v>
      </c>
      <c r="E44" s="110">
        <f t="shared" si="20"/>
        <v>0</v>
      </c>
      <c r="F44" s="110">
        <f t="shared" si="20"/>
        <v>0</v>
      </c>
      <c r="G44" s="110">
        <f t="shared" si="20"/>
        <v>0</v>
      </c>
      <c r="H44" s="110">
        <f t="shared" si="20"/>
        <v>0</v>
      </c>
      <c r="I44" s="110">
        <f t="shared" si="20"/>
        <v>0</v>
      </c>
      <c r="J44" s="110">
        <f>IF(LEFT($K$5,1)="s",$K$4*(J$34-#REF!),IF(LEFT($K$5,1)="c",(MAX((J$34-$K$6),0)-$K$11)*$K$4*$P$4,IF(LEFT($K$5,1)="p",(MAX(($K$6-J$34),0)-$K$11)*$K$4*$P$4,0)))</f>
        <v>0</v>
      </c>
      <c r="K44" s="110">
        <f>IF(LEFT($K$5,1)="s",$K$4*(K$34-#REF!),IF(LEFT($K$5,1)="c",(MAX((K$34-$K$6),0)-$K$11)*$K$4*$P$4,IF(LEFT($K$5,1)="p",(MAX(($K$6-K$34),0)-$K$11)*$K$4*$P$4,0)))</f>
        <v>0</v>
      </c>
      <c r="L44" s="111">
        <f>IF(LEFT($K$5,1)="s",$K$4*(L$34-#REF!),IF(LEFT($K$5,1)="c",(MAX((L$34-$K$6),0)-$K$11)*$K$4*$P$4,IF(LEFT($K$5,1)="p",(MAX(($K$6-L$34),0)-$K$11)*$K$4*$P$4,0)))</f>
        <v>0</v>
      </c>
      <c r="P44" s="94">
        <f>Option_Chain_Output!L32</f>
        <v>0</v>
      </c>
      <c r="Q44" s="95">
        <f>Option_Chain_Output!E32*100</f>
        <v>0</v>
      </c>
      <c r="R44" s="96">
        <f>Option_Chain_Output!S32*100</f>
        <v>0</v>
      </c>
      <c r="S44" s="44">
        <f>Option_Chain_Output!F32</f>
        <v>0</v>
      </c>
      <c r="T44" s="44">
        <f>Option_Chain_Output!R32</f>
        <v>0</v>
      </c>
    </row>
    <row r="45" spans="1:20" ht="15.75" thickBot="1">
      <c r="A45" s="112" t="s">
        <v>321</v>
      </c>
      <c r="B45" s="113" t="e">
        <f t="shared" ref="B45:L45" si="21">SUM(B35:B44)</f>
        <v>#NUM!</v>
      </c>
      <c r="C45" s="113" t="e">
        <f t="shared" si="21"/>
        <v>#NUM!</v>
      </c>
      <c r="D45" s="113">
        <f t="shared" si="21"/>
        <v>0</v>
      </c>
      <c r="E45" s="113">
        <f t="shared" si="21"/>
        <v>0</v>
      </c>
      <c r="F45" s="113">
        <f t="shared" si="21"/>
        <v>0</v>
      </c>
      <c r="G45" s="113">
        <f t="shared" si="21"/>
        <v>0</v>
      </c>
      <c r="H45" s="113">
        <f t="shared" si="21"/>
        <v>0</v>
      </c>
      <c r="I45" s="113">
        <f t="shared" si="21"/>
        <v>0</v>
      </c>
      <c r="J45" s="113">
        <f t="shared" si="21"/>
        <v>0</v>
      </c>
      <c r="K45" s="113">
        <f t="shared" si="21"/>
        <v>0</v>
      </c>
      <c r="L45" s="114">
        <f t="shared" si="21"/>
        <v>0</v>
      </c>
      <c r="P45" s="94">
        <f>Option_Chain_Output!L33</f>
        <v>0</v>
      </c>
      <c r="Q45" s="95">
        <f>Option_Chain_Output!E33*100</f>
        <v>0</v>
      </c>
      <c r="R45" s="96">
        <f>Option_Chain_Output!S33*100</f>
        <v>0</v>
      </c>
      <c r="S45" s="44">
        <f>Option_Chain_Output!F33</f>
        <v>0</v>
      </c>
      <c r="T45" s="44">
        <f>Option_Chain_Output!R33</f>
        <v>0</v>
      </c>
    </row>
    <row r="46" spans="1:20" ht="16.5" thickTop="1" thickBot="1">
      <c r="B46" s="98"/>
      <c r="C46" s="98"/>
      <c r="D46" s="98"/>
      <c r="E46" s="98"/>
      <c r="F46" s="98"/>
      <c r="G46" s="98"/>
      <c r="H46" s="98"/>
      <c r="J46" s="98"/>
      <c r="K46" s="98"/>
      <c r="P46" s="94">
        <f>Option_Chain_Output!L34</f>
        <v>0</v>
      </c>
      <c r="Q46" s="95">
        <f>Option_Chain_Output!E34*100</f>
        <v>0</v>
      </c>
      <c r="R46" s="96">
        <f>Option_Chain_Output!S34*100</f>
        <v>0</v>
      </c>
      <c r="S46" s="44">
        <f>Option_Chain_Output!F34</f>
        <v>0</v>
      </c>
      <c r="T46" s="44">
        <f>Option_Chain_Output!R34</f>
        <v>0</v>
      </c>
    </row>
    <row r="47" spans="1:20">
      <c r="A47" s="116" t="str">
        <f>B63</f>
        <v>P&amp;L (Theoretical)</v>
      </c>
      <c r="B47" s="104"/>
      <c r="C47" s="104"/>
      <c r="D47" s="104"/>
      <c r="E47" s="104"/>
      <c r="F47" s="104"/>
      <c r="G47" s="104"/>
      <c r="H47" s="104"/>
      <c r="I47" s="104"/>
      <c r="J47" s="104"/>
      <c r="K47" s="104"/>
      <c r="L47" s="104"/>
    </row>
    <row r="48" spans="1:20">
      <c r="A48" s="105" t="s">
        <v>322</v>
      </c>
      <c r="B48" s="102">
        <f>C48-$P$7</f>
        <v>-159.69999999999999</v>
      </c>
      <c r="C48" s="102">
        <f>D48-$P$7</f>
        <v>-59.699999999999989</v>
      </c>
      <c r="D48" s="102">
        <f>E48-$P$7</f>
        <v>40.300000000000011</v>
      </c>
      <c r="E48" s="102">
        <f>F48-$P$7</f>
        <v>140.30000000000001</v>
      </c>
      <c r="F48" s="102">
        <f>G48-$P$7</f>
        <v>240.3</v>
      </c>
      <c r="G48" s="102">
        <f>P2</f>
        <v>340.3</v>
      </c>
      <c r="H48" s="102">
        <f>G48+$P$7</f>
        <v>440.3</v>
      </c>
      <c r="I48" s="102">
        <f>H48+$P$7</f>
        <v>540.29999999999995</v>
      </c>
      <c r="J48" s="102">
        <f>I48+$P$7</f>
        <v>640.29999999999995</v>
      </c>
      <c r="K48" s="102">
        <f>J48+$P$7</f>
        <v>740.3</v>
      </c>
      <c r="L48" s="117">
        <f>K48+$P$7</f>
        <v>840.3</v>
      </c>
    </row>
    <row r="49" spans="1:12">
      <c r="A49" s="109" t="s">
        <v>311</v>
      </c>
      <c r="B49" s="110" t="e">
        <f t="shared" ref="B49:L49" ca="1" si="22">IF($A$63=1,(OTW_BlackScholes($B$5,$B$63,B$48,$B$6,($B$3-$P$8)/365,$P$5,$B$9,$P$6)-$B$11)*$B$4*$P$4,OTW_BlackScholes($B$5,$B$63,B$48,$B$6,($B$3-$P$8)/365,$P$5,$B$9,$P$6)*$B$4*$P$4)</f>
        <v>#VALUE!</v>
      </c>
      <c r="C49" s="110" t="e">
        <f t="shared" ca="1" si="22"/>
        <v>#VALUE!</v>
      </c>
      <c r="D49" s="110" t="e">
        <f t="shared" ca="1" si="22"/>
        <v>#VALUE!</v>
      </c>
      <c r="E49" s="110" t="e">
        <f t="shared" ca="1" si="22"/>
        <v>#VALUE!</v>
      </c>
      <c r="F49" s="110" t="e">
        <f t="shared" ca="1" si="22"/>
        <v>#VALUE!</v>
      </c>
      <c r="G49" s="110" t="e">
        <f t="shared" ca="1" si="22"/>
        <v>#VALUE!</v>
      </c>
      <c r="H49" s="110" t="e">
        <f t="shared" ca="1" si="22"/>
        <v>#VALUE!</v>
      </c>
      <c r="I49" s="110" t="e">
        <f t="shared" ca="1" si="22"/>
        <v>#VALUE!</v>
      </c>
      <c r="J49" s="110" t="e">
        <f t="shared" ca="1" si="22"/>
        <v>#VALUE!</v>
      </c>
      <c r="K49" s="110" t="e">
        <f t="shared" ca="1" si="22"/>
        <v>#VALUE!</v>
      </c>
      <c r="L49" s="111" t="e">
        <f t="shared" ca="1" si="22"/>
        <v>#VALUE!</v>
      </c>
    </row>
    <row r="50" spans="1:12">
      <c r="A50" s="109" t="s">
        <v>312</v>
      </c>
      <c r="B50" s="110" t="e">
        <f t="shared" ref="B50:L50" ca="1" si="23">IF($A$63=1,(OTW_BlackScholes($C$5,$B$63,B$48,$C$6,($C$3-$P$8)/365,$P$5,$C$9,$P$6)-$C$11)*$C$4*$P$4,OTW_BlackScholes($C$5,$B$63,B$48,$C$6,($C$3-$P$8)/365,$P$5,$C$9,$P$6)*$C$4*$P$4)</f>
        <v>#VALUE!</v>
      </c>
      <c r="C50" s="110" t="e">
        <f t="shared" ca="1" si="23"/>
        <v>#VALUE!</v>
      </c>
      <c r="D50" s="110" t="e">
        <f t="shared" ca="1" si="23"/>
        <v>#VALUE!</v>
      </c>
      <c r="E50" s="110" t="e">
        <f t="shared" ca="1" si="23"/>
        <v>#VALUE!</v>
      </c>
      <c r="F50" s="110" t="e">
        <f t="shared" ca="1" si="23"/>
        <v>#VALUE!</v>
      </c>
      <c r="G50" s="110" t="e">
        <f t="shared" ca="1" si="23"/>
        <v>#VALUE!</v>
      </c>
      <c r="H50" s="110" t="e">
        <f t="shared" ca="1" si="23"/>
        <v>#VALUE!</v>
      </c>
      <c r="I50" s="110" t="e">
        <f t="shared" ca="1" si="23"/>
        <v>#VALUE!</v>
      </c>
      <c r="J50" s="110" t="e">
        <f t="shared" ca="1" si="23"/>
        <v>#VALUE!</v>
      </c>
      <c r="K50" s="110" t="e">
        <f t="shared" ca="1" si="23"/>
        <v>#VALUE!</v>
      </c>
      <c r="L50" s="111" t="e">
        <f t="shared" ca="1" si="23"/>
        <v>#VALUE!</v>
      </c>
    </row>
    <row r="51" spans="1:12">
      <c r="A51" s="109" t="s">
        <v>313</v>
      </c>
      <c r="B51" s="110" t="e">
        <f t="shared" ref="B51:L51" ca="1" si="24">IF($A$63=1,(OTW_BlackScholes($D$5,$B$63,B$48,$D$6,($D$3-$P$8)/365,$P$5,$D$9,$P$6)-$D$11)*$D$4*$P$4,OTW_BlackScholes($D$5,$B$63,B$48,$D$6,($D$3-$P$8)/365,$P$5,$D$9,$P$6)*$D$4*$P$4)</f>
        <v>#VALUE!</v>
      </c>
      <c r="C51" s="110" t="e">
        <f t="shared" ca="1" si="24"/>
        <v>#VALUE!</v>
      </c>
      <c r="D51" s="110" t="e">
        <f t="shared" ca="1" si="24"/>
        <v>#VALUE!</v>
      </c>
      <c r="E51" s="110" t="e">
        <f t="shared" ca="1" si="24"/>
        <v>#VALUE!</v>
      </c>
      <c r="F51" s="110" t="e">
        <f t="shared" ca="1" si="24"/>
        <v>#VALUE!</v>
      </c>
      <c r="G51" s="110" t="e">
        <f t="shared" ca="1" si="24"/>
        <v>#VALUE!</v>
      </c>
      <c r="H51" s="110" t="e">
        <f t="shared" ca="1" si="24"/>
        <v>#VALUE!</v>
      </c>
      <c r="I51" s="110" t="e">
        <f t="shared" ca="1" si="24"/>
        <v>#VALUE!</v>
      </c>
      <c r="J51" s="110" t="e">
        <f t="shared" ca="1" si="24"/>
        <v>#VALUE!</v>
      </c>
      <c r="K51" s="110" t="e">
        <f t="shared" ca="1" si="24"/>
        <v>#VALUE!</v>
      </c>
      <c r="L51" s="111" t="e">
        <f t="shared" ca="1" si="24"/>
        <v>#VALUE!</v>
      </c>
    </row>
    <row r="52" spans="1:12">
      <c r="A52" s="109" t="s">
        <v>314</v>
      </c>
      <c r="B52" s="110" t="e">
        <f t="shared" ref="B52:L52" ca="1" si="25">IF($A$63=1,(OTW_BlackScholes($E$5,$B$63,B$48,$E$6,($E$3-$P$8)/365,$P$5,$E$9,$P$6)-$E$11)*$E$4*$P$4,OTW_BlackScholes($E$5,$B$63,B$48,$E$6,($E$3-$P$8)/365,$P$5,$E$9,$P$6)*$E$4*$P$4)</f>
        <v>#VALUE!</v>
      </c>
      <c r="C52" s="110" t="e">
        <f t="shared" ca="1" si="25"/>
        <v>#VALUE!</v>
      </c>
      <c r="D52" s="110" t="e">
        <f t="shared" ca="1" si="25"/>
        <v>#VALUE!</v>
      </c>
      <c r="E52" s="110" t="e">
        <f t="shared" ca="1" si="25"/>
        <v>#VALUE!</v>
      </c>
      <c r="F52" s="110" t="e">
        <f t="shared" ca="1" si="25"/>
        <v>#VALUE!</v>
      </c>
      <c r="G52" s="110" t="e">
        <f t="shared" ca="1" si="25"/>
        <v>#VALUE!</v>
      </c>
      <c r="H52" s="110" t="e">
        <f t="shared" ca="1" si="25"/>
        <v>#VALUE!</v>
      </c>
      <c r="I52" s="110" t="e">
        <f t="shared" ca="1" si="25"/>
        <v>#VALUE!</v>
      </c>
      <c r="J52" s="110" t="e">
        <f t="shared" ca="1" si="25"/>
        <v>#VALUE!</v>
      </c>
      <c r="K52" s="110" t="e">
        <f t="shared" ca="1" si="25"/>
        <v>#VALUE!</v>
      </c>
      <c r="L52" s="111" t="e">
        <f t="shared" ca="1" si="25"/>
        <v>#VALUE!</v>
      </c>
    </row>
    <row r="53" spans="1:12">
      <c r="A53" s="109" t="s">
        <v>315</v>
      </c>
      <c r="B53" s="110" t="e">
        <f t="shared" ref="B53:L53" ca="1" si="26">IF($A$63=1,(OTW_BlackScholes($F$5,$B$63,B$48,$F$6,($F$3-$P$8)/365,$P$5,$F$9,$P$6)-$F$11)*$F$4*$P$4,OTW_BlackScholes($F$5,$B$63,B$48,$F$6,($F$3-$P$8)/365,$P$5,$F$9,$P$6)*$F$4*$P$4)</f>
        <v>#VALUE!</v>
      </c>
      <c r="C53" s="110" t="e">
        <f t="shared" ca="1" si="26"/>
        <v>#VALUE!</v>
      </c>
      <c r="D53" s="110" t="e">
        <f t="shared" ca="1" si="26"/>
        <v>#VALUE!</v>
      </c>
      <c r="E53" s="110" t="e">
        <f t="shared" ca="1" si="26"/>
        <v>#VALUE!</v>
      </c>
      <c r="F53" s="110" t="e">
        <f t="shared" ca="1" si="26"/>
        <v>#VALUE!</v>
      </c>
      <c r="G53" s="110" t="e">
        <f t="shared" ca="1" si="26"/>
        <v>#VALUE!</v>
      </c>
      <c r="H53" s="110" t="e">
        <f t="shared" ca="1" si="26"/>
        <v>#VALUE!</v>
      </c>
      <c r="I53" s="110" t="e">
        <f t="shared" ca="1" si="26"/>
        <v>#VALUE!</v>
      </c>
      <c r="J53" s="110" t="e">
        <f t="shared" ca="1" si="26"/>
        <v>#VALUE!</v>
      </c>
      <c r="K53" s="110" t="e">
        <f t="shared" ca="1" si="26"/>
        <v>#VALUE!</v>
      </c>
      <c r="L53" s="111" t="e">
        <f t="shared" ca="1" si="26"/>
        <v>#VALUE!</v>
      </c>
    </row>
    <row r="54" spans="1:12">
      <c r="A54" s="109" t="s">
        <v>316</v>
      </c>
      <c r="B54" s="110" t="e">
        <f t="shared" ref="B54:L54" ca="1" si="27">IF($A$63=1,(OTW_BlackScholes($G$5,$B$63,B$48,$G$6,($G$3-$P$8)/365,$P$5,$G$9,$P$6)-$G$11)*$G$4*$P$4,OTW_BlackScholes($G$5,$B$63,B$48,$G$6,($G$3-$P$8)/365,$P$5,$G$9,$P$6)*$G$4*$P$4)</f>
        <v>#VALUE!</v>
      </c>
      <c r="C54" s="110" t="e">
        <f t="shared" ca="1" si="27"/>
        <v>#VALUE!</v>
      </c>
      <c r="D54" s="110" t="e">
        <f t="shared" ca="1" si="27"/>
        <v>#VALUE!</v>
      </c>
      <c r="E54" s="110" t="e">
        <f t="shared" ca="1" si="27"/>
        <v>#VALUE!</v>
      </c>
      <c r="F54" s="110" t="e">
        <f t="shared" ca="1" si="27"/>
        <v>#VALUE!</v>
      </c>
      <c r="G54" s="110" t="e">
        <f t="shared" ca="1" si="27"/>
        <v>#VALUE!</v>
      </c>
      <c r="H54" s="110" t="e">
        <f t="shared" ca="1" si="27"/>
        <v>#VALUE!</v>
      </c>
      <c r="I54" s="110" t="e">
        <f t="shared" ca="1" si="27"/>
        <v>#VALUE!</v>
      </c>
      <c r="J54" s="110" t="e">
        <f t="shared" ca="1" si="27"/>
        <v>#VALUE!</v>
      </c>
      <c r="K54" s="110" t="e">
        <f t="shared" ca="1" si="27"/>
        <v>#VALUE!</v>
      </c>
      <c r="L54" s="111" t="e">
        <f t="shared" ca="1" si="27"/>
        <v>#VALUE!</v>
      </c>
    </row>
    <row r="55" spans="1:12">
      <c r="A55" s="109" t="s">
        <v>317</v>
      </c>
      <c r="B55" s="110" t="e">
        <f t="shared" ref="B55:L55" ca="1" si="28">IF($A$63=1,(OTW_BlackScholes($H$5,$B$63,B$48,$H$6,($H$3-$P$8)/365,$P$5,$H$9,$P$6)-$H$11)*$H$4*$P$4,OTW_BlackScholes($H$5,$B$63,B$48,$H$6,($H$3-$P$8)/365,$P$5,$H$9,$P$6)*$H$4*$P$4)</f>
        <v>#VALUE!</v>
      </c>
      <c r="C55" s="110" t="e">
        <f t="shared" ca="1" si="28"/>
        <v>#VALUE!</v>
      </c>
      <c r="D55" s="110" t="e">
        <f t="shared" ca="1" si="28"/>
        <v>#VALUE!</v>
      </c>
      <c r="E55" s="110" t="e">
        <f t="shared" ca="1" si="28"/>
        <v>#VALUE!</v>
      </c>
      <c r="F55" s="110" t="e">
        <f t="shared" ca="1" si="28"/>
        <v>#VALUE!</v>
      </c>
      <c r="G55" s="110" t="e">
        <f t="shared" ca="1" si="28"/>
        <v>#VALUE!</v>
      </c>
      <c r="H55" s="110" t="e">
        <f t="shared" ca="1" si="28"/>
        <v>#VALUE!</v>
      </c>
      <c r="I55" s="110" t="e">
        <f t="shared" ca="1" si="28"/>
        <v>#VALUE!</v>
      </c>
      <c r="J55" s="110" t="e">
        <f t="shared" ca="1" si="28"/>
        <v>#VALUE!</v>
      </c>
      <c r="K55" s="110" t="e">
        <f t="shared" ca="1" si="28"/>
        <v>#VALUE!</v>
      </c>
      <c r="L55" s="111" t="e">
        <f t="shared" ca="1" si="28"/>
        <v>#VALUE!</v>
      </c>
    </row>
    <row r="56" spans="1:12">
      <c r="A56" s="109" t="s">
        <v>318</v>
      </c>
      <c r="B56" s="110" t="e">
        <f t="shared" ref="B56:L56" ca="1" si="29">IF($A$63=1,(OTW_BlackScholes($I$5,$B$63,B$48,$I$6,($I$3-$P$8)/365,$P$5,$I$9,$P$6)-$I$11)*$I$4*$P$4,OTW_BlackScholes($I$5,$B$63,B$48,$I$6,($I$3-$P$8)/365,$P$5,$I$9,$P$6)*$I$4*$P$4)</f>
        <v>#VALUE!</v>
      </c>
      <c r="C56" s="110" t="e">
        <f t="shared" ca="1" si="29"/>
        <v>#VALUE!</v>
      </c>
      <c r="D56" s="110" t="e">
        <f t="shared" ca="1" si="29"/>
        <v>#VALUE!</v>
      </c>
      <c r="E56" s="110" t="e">
        <f t="shared" ca="1" si="29"/>
        <v>#VALUE!</v>
      </c>
      <c r="F56" s="110" t="e">
        <f t="shared" ca="1" si="29"/>
        <v>#VALUE!</v>
      </c>
      <c r="G56" s="110" t="e">
        <f t="shared" ca="1" si="29"/>
        <v>#VALUE!</v>
      </c>
      <c r="H56" s="110" t="e">
        <f t="shared" ca="1" si="29"/>
        <v>#VALUE!</v>
      </c>
      <c r="I56" s="110" t="e">
        <f t="shared" ca="1" si="29"/>
        <v>#VALUE!</v>
      </c>
      <c r="J56" s="110" t="e">
        <f t="shared" ca="1" si="29"/>
        <v>#VALUE!</v>
      </c>
      <c r="K56" s="110" t="e">
        <f t="shared" ca="1" si="29"/>
        <v>#VALUE!</v>
      </c>
      <c r="L56" s="111" t="e">
        <f t="shared" ca="1" si="29"/>
        <v>#VALUE!</v>
      </c>
    </row>
    <row r="57" spans="1:12">
      <c r="A57" s="109" t="s">
        <v>319</v>
      </c>
      <c r="B57" s="110" t="e">
        <f t="shared" ref="B57:L57" ca="1" si="30">IF($A$63=1,(OTW_BlackScholes($J$5,$B$63,B$48,$J$6,($J$3-$P$8)/365,$P$5,$J$9,$P$6)-$J$11)*$J$4*$P$4,OTW_BlackScholes($J$5,$B$63,B$48,$J$6,($J$3-$P$8)/365,$P$5,$J$9,$P$6)*$J$4*$P$4)</f>
        <v>#VALUE!</v>
      </c>
      <c r="C57" s="110" t="e">
        <f t="shared" ca="1" si="30"/>
        <v>#VALUE!</v>
      </c>
      <c r="D57" s="110" t="e">
        <f t="shared" ca="1" si="30"/>
        <v>#VALUE!</v>
      </c>
      <c r="E57" s="110" t="e">
        <f t="shared" ca="1" si="30"/>
        <v>#VALUE!</v>
      </c>
      <c r="F57" s="110" t="e">
        <f t="shared" ca="1" si="30"/>
        <v>#VALUE!</v>
      </c>
      <c r="G57" s="110" t="e">
        <f t="shared" ca="1" si="30"/>
        <v>#VALUE!</v>
      </c>
      <c r="H57" s="110" t="e">
        <f t="shared" ca="1" si="30"/>
        <v>#VALUE!</v>
      </c>
      <c r="I57" s="110" t="e">
        <f t="shared" ca="1" si="30"/>
        <v>#VALUE!</v>
      </c>
      <c r="J57" s="110" t="e">
        <f t="shared" ca="1" si="30"/>
        <v>#VALUE!</v>
      </c>
      <c r="K57" s="110" t="e">
        <f t="shared" ca="1" si="30"/>
        <v>#VALUE!</v>
      </c>
      <c r="L57" s="111" t="e">
        <f t="shared" ca="1" si="30"/>
        <v>#VALUE!</v>
      </c>
    </row>
    <row r="58" spans="1:12">
      <c r="A58" s="109" t="s">
        <v>320</v>
      </c>
      <c r="B58" s="110" t="e">
        <f t="shared" ref="B58:L58" ca="1" si="31">IF($A$63=1,(OTW_BlackScholes($K$5,$B$63,B$48,$K$6,($K$3-$P$8)/365,$P$5,$K$9,$P$6)-$K$11)*$K$4*$P$4,OTW_BlackScholes($K$5,$B$63,B$48,$K$6,($K$3-$P$8)/365,$P$5,$K$9,$P$6)*$K$4*$P$4)</f>
        <v>#VALUE!</v>
      </c>
      <c r="C58" s="110" t="e">
        <f t="shared" ca="1" si="31"/>
        <v>#VALUE!</v>
      </c>
      <c r="D58" s="110" t="e">
        <f t="shared" ca="1" si="31"/>
        <v>#VALUE!</v>
      </c>
      <c r="E58" s="110" t="e">
        <f t="shared" ca="1" si="31"/>
        <v>#VALUE!</v>
      </c>
      <c r="F58" s="110" t="e">
        <f t="shared" ca="1" si="31"/>
        <v>#VALUE!</v>
      </c>
      <c r="G58" s="110" t="e">
        <f t="shared" ca="1" si="31"/>
        <v>#VALUE!</v>
      </c>
      <c r="H58" s="110" t="e">
        <f t="shared" ca="1" si="31"/>
        <v>#VALUE!</v>
      </c>
      <c r="I58" s="110" t="e">
        <f t="shared" ca="1" si="31"/>
        <v>#VALUE!</v>
      </c>
      <c r="J58" s="110" t="e">
        <f t="shared" ca="1" si="31"/>
        <v>#VALUE!</v>
      </c>
      <c r="K58" s="110" t="e">
        <f t="shared" ca="1" si="31"/>
        <v>#VALUE!</v>
      </c>
      <c r="L58" s="111" t="e">
        <f t="shared" ca="1" si="31"/>
        <v>#VALUE!</v>
      </c>
    </row>
    <row r="59" spans="1:12" ht="15.75" thickBot="1">
      <c r="A59" s="112" t="s">
        <v>321</v>
      </c>
      <c r="B59" s="113" t="e">
        <f ca="1">SUM(B49:B58)</f>
        <v>#VALUE!</v>
      </c>
      <c r="C59" s="113" t="e">
        <f t="shared" ref="C59:L59" ca="1" si="32">SUM(C49:C58)</f>
        <v>#VALUE!</v>
      </c>
      <c r="D59" s="113" t="e">
        <f t="shared" ca="1" si="32"/>
        <v>#VALUE!</v>
      </c>
      <c r="E59" s="113" t="e">
        <f t="shared" ca="1" si="32"/>
        <v>#VALUE!</v>
      </c>
      <c r="F59" s="113" t="e">
        <f t="shared" ca="1" si="32"/>
        <v>#VALUE!</v>
      </c>
      <c r="G59" s="113" t="e">
        <f t="shared" ca="1" si="32"/>
        <v>#VALUE!</v>
      </c>
      <c r="H59" s="113" t="e">
        <f t="shared" ca="1" si="32"/>
        <v>#VALUE!</v>
      </c>
      <c r="I59" s="113" t="e">
        <f t="shared" ca="1" si="32"/>
        <v>#VALUE!</v>
      </c>
      <c r="J59" s="113" t="e">
        <f t="shared" ca="1" si="32"/>
        <v>#VALUE!</v>
      </c>
      <c r="K59" s="113" t="e">
        <f t="shared" ca="1" si="32"/>
        <v>#VALUE!</v>
      </c>
      <c r="L59" s="114" t="e">
        <f t="shared" ca="1" si="32"/>
        <v>#VALUE!</v>
      </c>
    </row>
    <row r="60" spans="1:12" ht="15.75" thickTop="1">
      <c r="B60" s="98"/>
      <c r="C60" s="98"/>
      <c r="D60" s="98"/>
      <c r="E60" s="98"/>
      <c r="F60" s="98"/>
      <c r="G60" s="98"/>
      <c r="H60" s="98"/>
      <c r="I60" s="98"/>
      <c r="J60" s="98"/>
      <c r="K60" s="98"/>
      <c r="L60" s="98"/>
    </row>
    <row r="61" spans="1:12">
      <c r="B61" s="98"/>
      <c r="C61" s="98"/>
      <c r="D61" s="98"/>
      <c r="E61" s="98"/>
      <c r="F61" s="98"/>
      <c r="G61" s="98"/>
      <c r="H61" s="98"/>
      <c r="I61" s="98"/>
      <c r="J61" s="98"/>
      <c r="K61" s="98"/>
      <c r="L61" s="98"/>
    </row>
    <row r="62" spans="1:12">
      <c r="A62" s="101" t="s">
        <v>354</v>
      </c>
      <c r="B62" s="102"/>
      <c r="C62" s="102"/>
      <c r="D62" s="98"/>
      <c r="E62" s="98"/>
      <c r="F62" s="98"/>
      <c r="G62" s="98"/>
      <c r="H62" s="98"/>
      <c r="I62" s="98"/>
      <c r="J62" s="98"/>
      <c r="K62" s="98"/>
      <c r="L62" s="98"/>
    </row>
    <row r="63" spans="1:12">
      <c r="A63" s="115">
        <v>1</v>
      </c>
      <c r="B63" s="98" t="str">
        <f>VLOOKUP($A$63,$A$64:$B$69,2,FALSE)</f>
        <v>P&amp;L (Theoretical)</v>
      </c>
      <c r="C63" s="98"/>
      <c r="D63" s="98"/>
      <c r="E63" s="98"/>
      <c r="F63" s="98"/>
      <c r="G63" s="98"/>
      <c r="H63" s="98"/>
      <c r="I63" s="98"/>
      <c r="J63" s="98"/>
      <c r="K63" s="98"/>
      <c r="L63" s="98"/>
    </row>
    <row r="64" spans="1:12">
      <c r="A64" s="115">
        <v>1</v>
      </c>
      <c r="B64" s="118" t="s">
        <v>355</v>
      </c>
      <c r="C64" s="98"/>
      <c r="D64" s="98"/>
      <c r="E64" s="98"/>
      <c r="F64" s="98"/>
      <c r="G64" s="98"/>
      <c r="H64" s="98"/>
      <c r="I64" s="98"/>
      <c r="J64" s="98"/>
      <c r="K64" s="98"/>
      <c r="L64" s="98"/>
    </row>
    <row r="65" spans="1:12">
      <c r="A65" s="115">
        <v>2</v>
      </c>
      <c r="B65" s="118" t="s">
        <v>282</v>
      </c>
      <c r="C65" s="98"/>
      <c r="D65" s="98"/>
      <c r="E65" s="98"/>
      <c r="F65" s="98"/>
      <c r="G65" s="98"/>
      <c r="H65" s="98"/>
      <c r="I65" s="98"/>
      <c r="J65" s="98"/>
      <c r="K65" s="98"/>
      <c r="L65" s="98"/>
    </row>
    <row r="66" spans="1:12">
      <c r="A66" s="115">
        <v>3</v>
      </c>
      <c r="B66" s="118" t="s">
        <v>341</v>
      </c>
      <c r="C66" s="98"/>
      <c r="D66" s="98"/>
      <c r="E66" s="98"/>
      <c r="F66" s="98"/>
      <c r="G66" s="98"/>
      <c r="H66" s="98"/>
      <c r="I66" s="98"/>
      <c r="J66" s="98"/>
      <c r="K66" s="98"/>
      <c r="L66" s="98"/>
    </row>
    <row r="67" spans="1:12">
      <c r="A67" s="115">
        <v>4</v>
      </c>
      <c r="B67" s="118" t="s">
        <v>343</v>
      </c>
      <c r="C67" s="98"/>
      <c r="D67" s="98"/>
      <c r="E67" s="98"/>
      <c r="F67" s="98"/>
      <c r="G67" s="98"/>
      <c r="H67" s="98"/>
      <c r="I67" s="98"/>
      <c r="J67" s="98"/>
      <c r="K67" s="98"/>
      <c r="L67" s="98"/>
    </row>
    <row r="68" spans="1:12">
      <c r="A68" s="115">
        <v>5</v>
      </c>
      <c r="B68" s="118" t="s">
        <v>348</v>
      </c>
      <c r="C68" s="98"/>
      <c r="D68" s="98"/>
      <c r="E68" s="98"/>
      <c r="F68" s="98"/>
      <c r="G68" s="98"/>
      <c r="H68" s="98"/>
      <c r="I68" s="98"/>
      <c r="J68" s="98"/>
      <c r="K68" s="98"/>
      <c r="L68" s="98"/>
    </row>
    <row r="69" spans="1:12">
      <c r="A69" s="115">
        <v>6</v>
      </c>
      <c r="B69" s="118" t="s">
        <v>350</v>
      </c>
      <c r="C69" s="98"/>
      <c r="D69" s="98"/>
      <c r="E69" s="98"/>
      <c r="F69" s="98"/>
      <c r="G69" s="98"/>
      <c r="H69" s="98"/>
      <c r="I69" s="98"/>
      <c r="J69" s="98"/>
      <c r="K69" s="98"/>
      <c r="L69" s="98"/>
    </row>
    <row r="70" spans="1:12">
      <c r="B70" s="98"/>
      <c r="C70" s="98"/>
      <c r="D70" s="98"/>
      <c r="E70" s="98"/>
      <c r="F70" s="98"/>
      <c r="G70" s="98"/>
      <c r="H70" s="98"/>
      <c r="I70" s="98"/>
      <c r="J70" s="98"/>
      <c r="K70" s="98"/>
      <c r="L70" s="98"/>
    </row>
  </sheetData>
  <protectedRanges>
    <protectedRange sqref="C6 K6 F6:H6" name="Range3"/>
    <protectedRange sqref="B4:E4 G4:J4 B5:K5" name="Range1"/>
  </protectedRanges>
  <dataValidations count="1">
    <dataValidation type="list" allowBlank="1" showInputMessage="1" showErrorMessage="1" sqref="B5:K5">
      <formula1>"Call,Put"</formula1>
    </dataValidation>
  </dataValidations>
  <hyperlinks>
    <hyperlink ref="Q15" r:id="rId1" display="https://www.nseindia.com/get-quotes/derivatives?symbol=NIFTY&amp;identifier=OPTIDXNIFTY17-11-2022CE18000.00"/>
    <hyperlink ref="Q16" r:id="rId2" display="https://www.nseindia.com/get-quotes/derivatives?symbol=NIFTY&amp;identifier=OPTIDXNIFTY17-11-2022CE18000.00"/>
    <hyperlink ref="Q17" r:id="rId3" display="https://www.nseindia.com/get-quotes/derivatives?symbol=NIFTY&amp;identifier=OPTIDXNIFTY17-11-2022CE18000.00"/>
    <hyperlink ref="Q18" r:id="rId4" display="https://www.nseindia.com/get-quotes/derivatives?symbol=NIFTY&amp;identifier=OPTIDXNIFTY17-11-2022CE18000.00"/>
    <hyperlink ref="Q19" r:id="rId5" display="https://www.nseindia.com/get-quotes/derivatives?symbol=NIFTY&amp;identifier=OPTIDXNIFTY17-11-2022CE18000.00"/>
    <hyperlink ref="Q20" r:id="rId6" display="https://www.nseindia.com/get-quotes/derivatives?symbol=NIFTY&amp;identifier=OPTIDXNIFTY17-11-2022CE18000.00"/>
    <hyperlink ref="Q21" r:id="rId7" display="https://www.nseindia.com/get-quotes/derivatives?symbol=NIFTY&amp;identifier=OPTIDXNIFTY17-11-2022CE18000.00"/>
    <hyperlink ref="Q22" r:id="rId8" display="https://www.nseindia.com/get-quotes/derivatives?symbol=NIFTY&amp;identifier=OPTIDXNIFTY17-11-2022CE18000.00"/>
    <hyperlink ref="Q23" r:id="rId9" display="https://www.nseindia.com/get-quotes/derivatives?symbol=NIFTY&amp;identifier=OPTIDXNIFTY17-11-2022CE18000.00"/>
    <hyperlink ref="Q24" r:id="rId10" display="https://www.nseindia.com/get-quotes/derivatives?symbol=NIFTY&amp;identifier=OPTIDXNIFTY17-11-2022CE18000.00"/>
    <hyperlink ref="Q25" r:id="rId11" display="https://www.nseindia.com/get-quotes/derivatives?symbol=NIFTY&amp;identifier=OPTIDXNIFTY17-11-2022CE18000.00"/>
    <hyperlink ref="Q26" r:id="rId12" display="https://www.nseindia.com/get-quotes/derivatives?symbol=NIFTY&amp;identifier=OPTIDXNIFTY17-11-2022CE18000.00"/>
    <hyperlink ref="Q27" r:id="rId13" display="https://www.nseindia.com/get-quotes/derivatives?symbol=NIFTY&amp;identifier=OPTIDXNIFTY17-11-2022CE18000.00"/>
    <hyperlink ref="Q28" r:id="rId14" display="https://www.nseindia.com/get-quotes/derivatives?symbol=NIFTY&amp;identifier=OPTIDXNIFTY17-11-2022CE18000.00"/>
    <hyperlink ref="Q29" r:id="rId15" display="https://www.nseindia.com/get-quotes/derivatives?symbol=NIFTY&amp;identifier=OPTIDXNIFTY17-11-2022CE18000.00"/>
    <hyperlink ref="Q30" r:id="rId16" display="https://www.nseindia.com/get-quotes/derivatives?symbol=NIFTY&amp;identifier=OPTIDXNIFTY17-11-2022CE18000.00"/>
    <hyperlink ref="Q31" r:id="rId17" display="https://www.nseindia.com/get-quotes/derivatives?symbol=NIFTY&amp;identifier=OPTIDXNIFTY17-11-2022CE18000.00"/>
    <hyperlink ref="Q32" r:id="rId18" display="https://www.nseindia.com/get-quotes/derivatives?symbol=NIFTY&amp;identifier=OPTIDXNIFTY17-11-2022CE18000.00"/>
    <hyperlink ref="Q33" r:id="rId19" display="https://www.nseindia.com/get-quotes/derivatives?symbol=NIFTY&amp;identifier=OPTIDXNIFTY17-11-2022CE18000.00"/>
    <hyperlink ref="Q34" r:id="rId20" display="https://www.nseindia.com/get-quotes/derivatives?symbol=NIFTY&amp;identifier=OPTIDXNIFTY17-11-2022CE18000.00"/>
    <hyperlink ref="Q35" r:id="rId21" display="https://www.nseindia.com/get-quotes/derivatives?symbol=NIFTY&amp;identifier=OPTIDXNIFTY17-11-2022CE18000.00"/>
    <hyperlink ref="Q36" r:id="rId22" display="https://www.nseindia.com/get-quotes/derivatives?symbol=NIFTY&amp;identifier=OPTIDXNIFTY17-11-2022CE18000.00"/>
    <hyperlink ref="Q37" r:id="rId23" display="https://www.nseindia.com/get-quotes/derivatives?symbol=NIFTY&amp;identifier=OPTIDXNIFTY17-11-2022CE18000.00"/>
    <hyperlink ref="Q38" r:id="rId24" display="https://www.nseindia.com/get-quotes/derivatives?symbol=NIFTY&amp;identifier=OPTIDXNIFTY17-11-2022CE18000.00"/>
    <hyperlink ref="Q39" r:id="rId25" display="https://www.nseindia.com/get-quotes/derivatives?symbol=NIFTY&amp;identifier=OPTIDXNIFTY17-11-2022CE18000.00"/>
    <hyperlink ref="Q40" r:id="rId26" display="https://www.nseindia.com/get-quotes/derivatives?symbol=NIFTY&amp;identifier=OPTIDXNIFTY17-11-2022CE18000.00"/>
    <hyperlink ref="Q41" r:id="rId27" display="https://www.nseindia.com/get-quotes/derivatives?symbol=NIFTY&amp;identifier=OPTIDXNIFTY17-11-2022CE18000.00"/>
    <hyperlink ref="Q42" r:id="rId28" display="https://www.nseindia.com/get-quotes/derivatives?symbol=NIFTY&amp;identifier=OPTIDXNIFTY17-11-2022CE18000.00"/>
    <hyperlink ref="Q43" r:id="rId29" display="https://www.nseindia.com/get-quotes/derivatives?symbol=NIFTY&amp;identifier=OPTIDXNIFTY17-11-2022CE18000.00"/>
    <hyperlink ref="Q44" r:id="rId30" display="https://www.nseindia.com/get-quotes/derivatives?symbol=NIFTY&amp;identifier=OPTIDXNIFTY17-11-2022CE18000.00"/>
    <hyperlink ref="Q45" r:id="rId31" display="https://www.nseindia.com/get-quotes/derivatives?symbol=NIFTY&amp;identifier=OPTIDXNIFTY17-11-2022CE18000.00"/>
    <hyperlink ref="Q46" r:id="rId32" display="https://www.nseindia.com/get-quotes/derivatives?symbol=NIFTY&amp;identifier=OPTIDXNIFTY17-11-2022CE18000.00"/>
  </hyperlinks>
  <pageMargins left="0.7" right="0.7" top="0.75" bottom="0.75" header="0.3" footer="0.3"/>
  <drawing r:id="rId33"/>
  <legacyDrawing r:id="rId34"/>
  <mc:AlternateContent xmlns:mc="http://schemas.openxmlformats.org/markup-compatibility/2006">
    <mc:Choice Requires="x14">
      <controls>
        <mc:AlternateContent xmlns:mc="http://schemas.openxmlformats.org/markup-compatibility/2006">
          <mc:Choice Requires="x14">
            <control shapeId="1025" r:id="rId35" name="Drop Down 1">
              <controlPr defaultSize="0" autoLine="0" autoPict="0">
                <anchor moveWithCells="1">
                  <from>
                    <xdr:col>12</xdr:col>
                    <xdr:colOff>76200</xdr:colOff>
                    <xdr:row>16</xdr:row>
                    <xdr:rowOff>95250</xdr:rowOff>
                  </from>
                  <to>
                    <xdr:col>13</xdr:col>
                    <xdr:colOff>342900</xdr:colOff>
                    <xdr:row>17</xdr:row>
                    <xdr:rowOff>123825</xdr:rowOff>
                  </to>
                </anchor>
              </controlPr>
            </control>
          </mc:Choice>
        </mc:AlternateContent>
        <mc:AlternateContent xmlns:mc="http://schemas.openxmlformats.org/markup-compatibility/2006">
          <mc:Choice Requires="x14">
            <control shapeId="1026" r:id="rId36" name="Spinner 2">
              <controlPr defaultSize="0" autoPict="0">
                <anchor moveWithCells="1" sizeWithCells="1">
                  <from>
                    <xdr:col>12</xdr:col>
                    <xdr:colOff>85725</xdr:colOff>
                    <xdr:row>18</xdr:row>
                    <xdr:rowOff>57150</xdr:rowOff>
                  </from>
                  <to>
                    <xdr:col>12</xdr:col>
                    <xdr:colOff>381000</xdr:colOff>
                    <xdr:row>20</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User_Credential</vt:lpstr>
      <vt:lpstr>Trade_Terminal</vt:lpstr>
      <vt:lpstr>OrderBook</vt:lpstr>
      <vt:lpstr>OpenPosition</vt:lpstr>
      <vt:lpstr>Option_Chain_Input</vt:lpstr>
      <vt:lpstr>Option_Chain_Output</vt:lpstr>
      <vt:lpstr>Payoff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MANJESH</dc:creator>
  <cp:lastModifiedBy>a</cp:lastModifiedBy>
  <dcterms:created xsi:type="dcterms:W3CDTF">2022-11-23T02:17:55Z</dcterms:created>
  <dcterms:modified xsi:type="dcterms:W3CDTF">2022-11-28T05:55:39Z</dcterms:modified>
</cp:coreProperties>
</file>